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20A6569-6AA9-45CD-BC80-2A1D98E5D9BA}" xr6:coauthVersionLast="47" xr6:coauthVersionMax="47" xr10:uidLastSave="{00000000-0000-0000-0000-000000000000}"/>
  <bookViews>
    <workbookView xWindow="-120" yWindow="-120" windowWidth="29040" windowHeight="15840" tabRatio="500" firstSheet="1" activeTab="3" xr2:uid="{00000000-000D-0000-FFFF-FFFF00000000}"/>
  </bookViews>
  <sheets>
    <sheet name="Overview" sheetId="1" r:id="rId1"/>
    <sheet name="5-Week Plan" sheetId="2" r:id="rId2"/>
    <sheet name="Learn From" sheetId="3" r:id="rId3"/>
    <sheet name="Tracker" sheetId="4" r:id="rId4"/>
    <sheet name="Dashboard" sheetId="5" r:id="rId5"/>
    <sheet name="Capstone" sheetId="6" r:id="rId6"/>
    <sheet name="Portfolio" sheetId="7" r:id="rId7"/>
    <sheet name="Skills" sheetId="8" r:id="rId8"/>
    <sheet name="Practice Sites" sheetId="9" r:id="rId9"/>
  </sheets>
  <definedNames>
    <definedName name="_xlnm._FilterDatabase" localSheetId="2" hidden="1">'Learn From'!$A$3:$G$86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1" i="8" l="1"/>
  <c r="C21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21" i="8" s="1"/>
  <c r="C18" i="7"/>
  <c r="D13" i="5"/>
  <c r="G7" i="5"/>
  <c r="C6" i="5"/>
  <c r="E4" i="5"/>
  <c r="E28" i="4"/>
  <c r="D28" i="4"/>
  <c r="B28" i="4"/>
  <c r="A28" i="4"/>
  <c r="E27" i="4"/>
  <c r="D27" i="4"/>
  <c r="C27" i="4"/>
  <c r="B27" i="4"/>
  <c r="A27" i="4"/>
  <c r="E26" i="4"/>
  <c r="D26" i="4"/>
  <c r="B26" i="4"/>
  <c r="A26" i="4"/>
  <c r="E25" i="4"/>
  <c r="D25" i="4"/>
  <c r="C25" i="4"/>
  <c r="B25" i="4"/>
  <c r="A25" i="4"/>
  <c r="E24" i="4"/>
  <c r="D24" i="4"/>
  <c r="B24" i="4"/>
  <c r="A24" i="4"/>
  <c r="E23" i="4"/>
  <c r="D23" i="4"/>
  <c r="C23" i="4"/>
  <c r="B23" i="4"/>
  <c r="A23" i="4"/>
  <c r="E22" i="4"/>
  <c r="D22" i="4"/>
  <c r="B22" i="4"/>
  <c r="A22" i="4"/>
  <c r="E21" i="4"/>
  <c r="D21" i="4"/>
  <c r="B21" i="4"/>
  <c r="A21" i="4"/>
  <c r="E20" i="4"/>
  <c r="D20" i="4"/>
  <c r="B20" i="4"/>
  <c r="A20" i="4"/>
  <c r="E19" i="4"/>
  <c r="D19" i="4"/>
  <c r="B19" i="4"/>
  <c r="A19" i="4"/>
  <c r="E18" i="4"/>
  <c r="D18" i="4"/>
  <c r="B18" i="4"/>
  <c r="A18" i="4"/>
  <c r="E17" i="4"/>
  <c r="D17" i="4"/>
  <c r="C17" i="4"/>
  <c r="B17" i="4"/>
  <c r="A17" i="4"/>
  <c r="E16" i="4"/>
  <c r="D16" i="4"/>
  <c r="B16" i="4"/>
  <c r="A16" i="4"/>
  <c r="E15" i="4"/>
  <c r="D15" i="4"/>
  <c r="C15" i="4"/>
  <c r="B15" i="4"/>
  <c r="A15" i="4"/>
  <c r="E14" i="4"/>
  <c r="D14" i="4"/>
  <c r="B14" i="4"/>
  <c r="A14" i="4"/>
  <c r="E13" i="4"/>
  <c r="D13" i="4"/>
  <c r="C13" i="4"/>
  <c r="B13" i="4"/>
  <c r="A13" i="4"/>
  <c r="E12" i="4"/>
  <c r="D12" i="4"/>
  <c r="B12" i="4"/>
  <c r="A12" i="4"/>
  <c r="E11" i="4"/>
  <c r="D11" i="4"/>
  <c r="B11" i="4"/>
  <c r="A11" i="4"/>
  <c r="E10" i="4"/>
  <c r="D10" i="4"/>
  <c r="B10" i="4"/>
  <c r="A10" i="4"/>
  <c r="E9" i="4"/>
  <c r="D9" i="4"/>
  <c r="B9" i="4"/>
  <c r="A9" i="4"/>
  <c r="E8" i="4"/>
  <c r="D8" i="4"/>
  <c r="B8" i="4"/>
  <c r="A8" i="4"/>
  <c r="E7" i="4"/>
  <c r="D7" i="4"/>
  <c r="C7" i="4"/>
  <c r="B7" i="4"/>
  <c r="A7" i="4"/>
  <c r="E6" i="4"/>
  <c r="D6" i="4"/>
  <c r="B6" i="4"/>
  <c r="A6" i="4"/>
  <c r="E5" i="4"/>
  <c r="D5" i="4"/>
  <c r="C5" i="4"/>
  <c r="B5" i="4"/>
  <c r="E6" i="5" s="1"/>
  <c r="A5" i="4"/>
  <c r="E4" i="4"/>
  <c r="D4" i="4"/>
  <c r="B4" i="4"/>
  <c r="F8" i="5" s="1"/>
  <c r="A4" i="4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28" i="2"/>
  <c r="C28" i="4" s="1"/>
  <c r="C27" i="2"/>
  <c r="C26" i="2"/>
  <c r="C26" i="4" s="1"/>
  <c r="C25" i="2"/>
  <c r="C24" i="2"/>
  <c r="C24" i="4" s="1"/>
  <c r="C23" i="2"/>
  <c r="C22" i="2"/>
  <c r="C22" i="4" s="1"/>
  <c r="C21" i="2"/>
  <c r="C21" i="4" s="1"/>
  <c r="C20" i="2"/>
  <c r="C20" i="4" s="1"/>
  <c r="C19" i="2"/>
  <c r="C19" i="4" s="1"/>
  <c r="C18" i="2"/>
  <c r="C18" i="4" s="1"/>
  <c r="C17" i="2"/>
  <c r="C16" i="2"/>
  <c r="C16" i="4" s="1"/>
  <c r="C15" i="2"/>
  <c r="C14" i="2"/>
  <c r="C14" i="4" s="1"/>
  <c r="C13" i="2"/>
  <c r="C12" i="2"/>
  <c r="C12" i="4" s="1"/>
  <c r="C11" i="2"/>
  <c r="C11" i="4" s="1"/>
  <c r="C10" i="2"/>
  <c r="C10" i="4" s="1"/>
  <c r="C9" i="2"/>
  <c r="C9" i="4" s="1"/>
  <c r="C8" i="2"/>
  <c r="C8" i="4" s="1"/>
  <c r="C7" i="2"/>
  <c r="C6" i="2"/>
  <c r="C6" i="4" s="1"/>
  <c r="C5" i="2"/>
  <c r="C4" i="2"/>
  <c r="C4" i="4" s="1"/>
  <c r="D12" i="5" s="1"/>
  <c r="B7" i="1"/>
  <c r="E5" i="5" l="1"/>
  <c r="E10" i="5" s="1"/>
  <c r="C7" i="5"/>
  <c r="G8" i="5"/>
  <c r="B4" i="5"/>
  <c r="F5" i="5"/>
  <c r="C4" i="5"/>
  <c r="G5" i="5"/>
  <c r="E7" i="5"/>
  <c r="B6" i="5"/>
  <c r="D6" i="5" s="1"/>
  <c r="F7" i="5"/>
  <c r="G4" i="5"/>
  <c r="C8" i="5"/>
  <c r="B5" i="5"/>
  <c r="F6" i="5"/>
  <c r="F4" i="5"/>
  <c r="B8" i="5"/>
  <c r="C5" i="5"/>
  <c r="G6" i="5"/>
  <c r="E8" i="5"/>
  <c r="B7" i="5"/>
  <c r="F10" i="5" l="1"/>
  <c r="D14" i="5" s="1"/>
  <c r="D8" i="5"/>
  <c r="C10" i="5"/>
  <c r="D5" i="5"/>
  <c r="D4" i="5"/>
  <c r="B10" i="5"/>
  <c r="G10" i="5"/>
  <c r="D7" i="5"/>
  <c r="D10" i="5" l="1"/>
  <c r="B8" i="1" s="1"/>
</calcChain>
</file>

<file path=xl/sharedStrings.xml><?xml version="1.0" encoding="utf-8"?>
<sst xmlns="http://schemas.openxmlformats.org/spreadsheetml/2006/main" count="751" uniqueCount="587">
  <si>
    <t>AI-Enabled Quality Engineer - 5-Week Plan &amp; Tracker</t>
  </si>
  <si>
    <t>Manual QA -&gt; AI-Enabled QA. 25 working days. Edit only the BLUE cells.</t>
  </si>
  <si>
    <t>Start date (Monday)</t>
  </si>
  <si>
    <t>INPUT - first working day. All planned dates recalculate (Mon-Fri).</t>
  </si>
  <si>
    <t>Study hours per day</t>
  </si>
  <si>
    <t>INPUT - assumption: 3 hrs/day alongside a job. Change to your reality.</t>
  </si>
  <si>
    <t>Programming language</t>
  </si>
  <si>
    <t>Python</t>
  </si>
  <si>
    <t>Assumption: Python for scripts/pytest/Playwright. TypeScript works too, but pick ONE and stay with it.</t>
  </si>
  <si>
    <t>Planned end date</t>
  </si>
  <si>
    <t>Formula - day 25 of the plan.</t>
  </si>
  <si>
    <t>Overall completion</t>
  </si>
  <si>
    <t>Formula - from Dashboard.</t>
  </si>
  <si>
    <t>Prerequisites (you already have these)</t>
  </si>
  <si>
    <t>Manual testing basics: smoke, sanity, regression, boundary value analysis, equivalence partitioning, risk-based testing.</t>
  </si>
  <si>
    <t>How to use this workbook</t>
  </si>
  <si>
    <t>1. Set Start date and Hours/day above.</t>
  </si>
  <si>
    <t>2. '5-Week Plan' = what to learn + exercises + deliverable + capstone increment for each day.</t>
  </si>
  <si>
    <t>3. Daily: update 'Tracker' (Status, Actual start, Actual hrs, Evidence link, Confidence, Notes). 'Dashboard' updates itself.</t>
  </si>
  <si>
    <t>4. 'Capstone' = the reusable QA-Copilot project you build a piece of every week. 'Portfolio' = your 3 GitHub projects + capstone checklist.</t>
  </si>
  <si>
    <t>5. 'Skills' = rate yourself 1-5 now (Before) and at the end (After). 'Learn From' = where to study each day's topic; 'Practice Sites' = demo apps/APIs to practise on.</t>
  </si>
  <si>
    <t>Rule: AI output is a draft. Every AI-generated test case, code, or bug must be reviewed by you (use your checklist from Day 12).</t>
  </si>
  <si>
    <t>Weekly themes</t>
  </si>
  <si>
    <t>Week 1 - Code Like a Tester</t>
  </si>
  <si>
    <t>Week 2 - Automate (without AI first)</t>
  </si>
  <si>
    <t>Week 3 - Use AI to Test Faster</t>
  </si>
  <si>
    <t>Week 4 - MCP &amp; Integrations</t>
  </si>
  <si>
    <t>Week 5 - Test AI Systems + Capstone</t>
  </si>
  <si>
    <t>Day-by-day plan with exercises</t>
  </si>
  <si>
    <t>Planned date = WORKDAY(Overview start date). Each day ~ hours set on Overview.</t>
  </si>
  <si>
    <t>Day #</t>
  </si>
  <si>
    <t>Week</t>
  </si>
  <si>
    <t>Planned date</t>
  </si>
  <si>
    <t>Topic</t>
  </si>
  <si>
    <t>Learning objectives</t>
  </si>
  <si>
    <t>Where to learn first (free, ~1 hr)</t>
  </si>
  <si>
    <t>Hands-on exercises</t>
  </si>
  <si>
    <t>Deliverable (evidence)</t>
  </si>
  <si>
    <t>Capstone increment (QA-Copilot)</t>
  </si>
  <si>
    <t>Tools</t>
  </si>
  <si>
    <t>Dev setup + Git &amp; GitHub</t>
  </si>
  <si>
    <t>Install Python 3.11+, VS Code, Git. Init/clone, branch, commit, push, PR, merge, resolve conflicts.</t>
  </si>
  <si>
    <t>1. Pro Git book - ch.1-3 (basics, branching) [Book/docs, ~60 min]
    https://git-scm.com/book/en/v2
2. GitHub Skills - Introduction to GitHub (hands-on) [Interactive, ~30 min]
    https://skills.github.com
3. GitHub Docs - Get started [Docs, ~20 min]
    https://docs.github.com/en/get-started</t>
  </si>
  <si>
    <t>1) Create repo 'ai-qa-journey'.
2) Branch -&gt; add README -&gt; open PR -&gt; merge.
3) Create a deliberate merge conflict and resolve it.
4) Add .gitignore and .env.example (never commit secrets).</t>
  </si>
  <si>
    <t>Repo link with 5+ commits and 1 merged PR</t>
  </si>
  <si>
    <t>Create 'qa-copilot' repo skeleton: README, /core /runner /prompts /samples /tests</t>
  </si>
  <si>
    <t>Git, GitHub, VS Code, Python</t>
  </si>
  <si>
    <t>Python core for testers</t>
  </si>
  <si>
    <t>Variables, lists/dicts, loops, conditionals, functions, exceptions, simple asserts.</t>
  </si>
  <si>
    <t>1. Automate the Boring Stuff - Python basics ch.1-6 [Free book, ~90 min]
    https://automatetheboringstuff.com
2. Official Python Tutorial (loops, functions, errors) [Docs, ~45 min]
    https://docs.python.org/3/tutorial/
3. Real Python - beginner articles [Articles, ~30 min]
    https://realpython.com</t>
  </si>
  <si>
    <t>1) Write boundary_values(min,max) returning the 6 BVA values.
2) Write partition(age) -&gt; equivalence class for a ticket-pricing rule.
3) Loop over 20 mock results and print a pass/fail summary.
4) Add 5 assert-based self-checks.</t>
  </si>
  <si>
    <t>bva.py + ep.py with self-checks</t>
  </si>
  <si>
    <t>core/techniques.py - BVA/EP helpers (later used to validate AI-generated cases)</t>
  </si>
  <si>
    <t>Python, VS Code</t>
  </si>
  <si>
    <t>Python OOP, files, JSON/CSV</t>
  </si>
  <si>
    <t>Classes/dataclasses, reading and writing CSV/JSON, basic error handling, JSON Schema idea.</t>
  </si>
  <si>
    <t>1. Python docs - dataclasses [Docs, ~30 min]
    https://docs.python.org/3/library/dataclasses.html
2. Python docs - json and csv modules [Docs, ~30 min]
    https://docs.python.org/3/library/json.html
3. Pydantic - getting started [Docs, ~30 min]
    https://docs.pydantic.dev
4. JSON Schema - Learn [Docs, ~30 min]
    https://json-schema.org/learn</t>
  </si>
  <si>
    <t>1) Create dataclass TestCase(id,title,preconditions,steps,expected,priority,type).
2) Read/write CSV and JSON.
3) Load 10 of your own (sanitised) manual test cases into objects and export to JSON.</t>
  </si>
  <si>
    <t>testcase.py + sample CSV/JSON</t>
  </si>
  <si>
    <t>Define the canonical TestCase JSON Schema - the contract every module uses</t>
  </si>
  <si>
    <t>Python, pydantic/jsonschema</t>
  </si>
  <si>
    <t>SQL for testers</t>
  </si>
  <si>
    <t>SELECT/WHERE, JOINs, GROUP BY/HAVING, subqueries, NULL handling, duplicates/orphans.</t>
  </si>
  <si>
    <t>1. SQLBolt - interactive SQL lessons 1-18 [Interactive, ~90 min]
    https://sqlbolt.com
2. SQLite - SQL language reference [Docs, ~20 min]
    https://sqlite.org/lang.html
3. Chinook sample database (practice data) [Dataset, ~15 min]
    https://github.com/lerocha/chinook-database
4. SQLZoo - extra practice [Interactive, ~45 min]
    https://sqlzoo.net</t>
  </si>
  <si>
    <t>On SQLite (sample orders DB):
1) 12 queries incl. a 3-table JOIN and a GROUP BY/HAVING.
2) Write 5 data-validation checks (e.g. order total &lt;&gt; sum of items, orphan rows, duplicate emails).
3) Run them from Python using sqlite3.</t>
  </si>
  <si>
    <t>sql_exercises.sql + run_checks.py</t>
  </si>
  <si>
    <t>Add SQLite results store (results.db) for test runs</t>
  </si>
  <si>
    <t>SQLite, DB Browser, Python</t>
  </si>
  <si>
    <t>HTTP/REST + Postman</t>
  </si>
  <si>
    <t>Methods, status codes, headers, auth, JSON bodies, Postman variables and test scripts.</t>
  </si>
  <si>
    <t>1. Postman Learning Center - 'Postman 101' [Docs/Video, ~60 min]
    https://learning.postman.com
2. MDN - HTTP overview, methods, status codes [Docs, ~45 min]
    https://developer.mozilla.org/en-US/docs/Web/HTTP
3. Restful-Booker API docs (your practice API) [API docs, ~15 min]
    https://restful-booker.herokuapp.com/apidoc/index.html</t>
  </si>
  <si>
    <t>On Restful-Booker:
1) Collection: auth token, create/get/update/delete booking.
2) Env variables + test scripts (status, schema, response time).
3) Negative tests: 401/404/400.
4) Run with Collection Runner, export JSON.
End of week: fill the Week-1 self-rating in the Skills sheet.</t>
  </si>
  <si>
    <t>Postman collection JSON committed to repo</t>
  </si>
  <si>
    <t>Save collection under /samples/postman</t>
  </si>
  <si>
    <t>Postman, restful-booker.herokuapp.com</t>
  </si>
  <si>
    <t>API automation: Python requests + pytest</t>
  </si>
  <si>
    <t>Translate manual API checks into code; fixtures; assertions.</t>
  </si>
  <si>
    <t>1. Requests - Quickstart [Docs, ~30 min]
    https://requests.readthedocs.io
2. pytest - Get started + fixtures [Docs, ~60 min]
    https://docs.pytest.org
3. Real Python - Effective testing with pytest [Article, ~30 min]
    https://realpython.com/pytest-python-testing/</t>
  </si>
  <si>
    <t>1) Port your Postman collection to pytest (8+ tests).
2) Session fixture for auth token.
3) Parametrize BVA values for booking fields.
4) Add 4 negative tests.</t>
  </si>
  <si>
    <t>api-tests/ folder running locally</t>
  </si>
  <si>
    <t>runner/ module: executes pytest and parses JUnit/JSON results</t>
  </si>
  <si>
    <t>pytest, requests</t>
  </si>
  <si>
    <t>pytest advanced + data-driven</t>
  </si>
  <si>
    <t>Markers, conftest, parametrize from CSV, schema validation, reports, flaky handling.</t>
  </si>
  <si>
    <t>1. pytest - How to parametrize [Docs, ~30 min]
    https://docs.pytest.org/en/stable/how-to/parametrize.html
2. jsonschema validation in Python [Docs, ~20 min]
    https://python-jsonschema.readthedocs.io
3. Allure Report docs [Docs, ~30 min]
    https://allurereport.org/docs/
4. pytest-html [Docs, ~15 min]
    https://pytest-html.readthedocs.io</t>
  </si>
  <si>
    <t>1) Data-drive tests from your Week-1 CSV.
2) Validate responses with jsonschema/pydantic.
3) Markers: smoke, regression.
4) Generate HTML/Allure report; add rerunfailures for flaky.</t>
  </si>
  <si>
    <t>API suite with smoke+regression markers and HTML report (PROJECT B ready)</t>
  </si>
  <si>
    <t>Runner outputs normalised result JSON (pass/fail/error/trace path)</t>
  </si>
  <si>
    <t>pytest-html, allure, jsonschema</t>
  </si>
  <si>
    <t>Playwright basics</t>
  </si>
  <si>
    <t>Install, role/label/test-id locators, auto-wait, expect assertions, codegen, trace viewer.</t>
  </si>
  <si>
    <t>1. Playwright Python - Getting started [Docs, ~45 min]
    https://playwright.dev/python/docs/intro
2. Playwright - Locators [Docs, ~30 min]
    https://playwright.dev/python/docs/locators
3. Playwright - Trace Viewer [Docs, ~20 min]
    https://playwright.dev/python/docs/trace-viewer
4. Playwright - Codegen [Docs, ~15 min]
    https://playwright.dev/python/docs/codegen</t>
  </si>
  <si>
    <t>On saucedemo.com:
1) Tests: valid/invalid login, add to cart, checkout.
2) Use getByRole/getByTestId, no sleeps.
3) Record with codegen then clean it up.
4) Force a failure and debug with Trace Viewer.</t>
  </si>
  <si>
    <t>8+ Playwright tests passing</t>
  </si>
  <si>
    <t>Playwright runner adapter in runner/</t>
  </si>
  <si>
    <t>Playwright (Python), codegen, trace viewer</t>
  </si>
  <si>
    <t>Playwright framework design</t>
  </si>
  <si>
    <t>Page Object Model, fixtures, storage_state, API+UI hybrid, parallel runs, env config.</t>
  </si>
  <si>
    <t>1. Playwright - Page Object Models [Docs, ~30 min]
    https://playwright.dev/python/docs/pom
2. Playwright - Authentication (storage_state) [Docs, ~20 min]
    https://playwright.dev/python/docs/auth
3. Playwright - API testing [Docs, ~30 min]
    https://playwright.dev/python/docs/api-testing</t>
  </si>
  <si>
    <t>1) Refactor to POM (LoginPage, InventoryPage, CartPage).
2) Reuse login via storage_state.
3) Create test data through API, verify through UI.
4) Screenshots/video on failure, run in parallel.</t>
  </si>
  <si>
    <t>Refactored UI framework (PROJECT A)</t>
  </si>
  <si>
    <t>Define coding conventions to feed into CLAUDE.md later</t>
  </si>
  <si>
    <t>Playwright, pytest-playwright</t>
  </si>
  <si>
    <t>CI/CD with GitHub Actions  [MILESTONE]</t>
  </si>
  <si>
    <t>Workflows, secrets, artifacts, matrix, schedule, badges.</t>
  </si>
  <si>
    <t>1. GitHub Actions - Quickstart [Docs, ~30 min]
    https://docs.github.com/en/actions/quickstart
2. Playwright - Continuous Integration [Docs, ~30 min]
    https://playwright.dev/python/docs/ci-intro
3. GitHub Skills - Hello GitHub Actions [Interactive, ~30 min]
    https://skills.github.com</t>
  </si>
  <si>
    <t>1) Workflow: API tests on push, Playwright on PR.
2) Upload HTML report + traces as artifacts.
3) Nightly scheduled run.
4) Add status badge to README.</t>
  </si>
  <si>
    <t>Projects A (Playwright) and B (API) public on GitHub with green CI</t>
  </si>
  <si>
    <t>GitHub Actions skeleton for qa-copilot (lint + unit tests)</t>
  </si>
  <si>
    <t>GitHub Actions</t>
  </si>
  <si>
    <t>Prompting for test design</t>
  </si>
  <si>
    <t>Role, context, constraints, output format; ask AI for assumptions + questions; drive BVA/EP/risk.</t>
  </si>
  <si>
    <t>1. Anthropic - Prompt engineering overview [Docs, ~45 min]
    https://docs.claude.com/en/docs/build-with-claude/prompt-engineering/overview
2. OpenAI - Prompt engineering guide [Docs, ~30 min]
    https://platform.openai.com/docs/guides/prompt-engineering
3. Prompt Engineering Guide [Guide, ~30 min]
    https://www.promptingguide.ai</t>
  </si>
  <si>
    <t>Take 3 real user stories (login, payment, search).
1) Prompt v1 = naive; prompt v2 = role + context + AC + techniques + JSON schema + 'list assumptions'.
2) Compare vs your manual cases: edge cases AI found that you missed, duplicates, hallucinated features.
3) Save best prompt as prompts/testcase_gen.md.</t>
  </si>
  <si>
    <t>Prompt v1 vs v2 comparison table + saved prompt</t>
  </si>
  <si>
    <t>prompts/ folder (versioned); output validated against TestCase schema</t>
  </si>
  <si>
    <t>ChatGPT, Copilot, Claude</t>
  </si>
  <si>
    <t>Advanced AI test design</t>
  </si>
  <si>
    <t>Ambiguity finder, test data generation, risk-based prioritisation, bug writing, reviewing AI output.</t>
  </si>
  <si>
    <t>1. Prompt Engineering Guide - techniques (few-shot, CoT, structured output) [Guide, ~45 min]
    https://www.promptingguide.ai
2. Ministry of Testing - articles &amp; community [Community, ~30 min]
    https://www.ministryoftesting.com
3. Anthropic - Prompt engineering: use XML/structured output [Docs, ~30 min]
    https://docs.claude.com/en/docs/build-with-claude/prompt-engineering/overview</t>
  </si>
  <si>
    <t>1) Ambiguity finder: requirement -&gt; questions for the BA.
2) Test-data generator (valid/invalid/boundary/unicode/long).
3) Risk prioritiser: AI scores, you override with reasons.
4) Raw notes -&gt; clean bug report.
5) Write a 8-point AI-output review checklist (traceability, duplicates, wrong expected result, invented features...).</t>
  </si>
  <si>
    <t>Prompt library (5 prompts) + review checklist</t>
  </si>
  <si>
    <t>Add review-checklist as automated validators in core/ (schema, duplicates, traceability)</t>
  </si>
  <si>
    <t>ChatGPT, Claude, Copilot</t>
  </si>
  <si>
    <t>Coding assistants: Copilot &amp; Claude Code</t>
  </si>
  <si>
    <t>Use assistants to write, refactor, explain, and test code; give them project rules.</t>
  </si>
  <si>
    <t>1. GitHub Copilot docs - Get started + custom instructions [Docs, ~45 min]
    https://docs.github.com/en/copilot
2. Claude Code - Overview and quickstart [Docs, ~45 min]
    https://docs.claude.com/en/docs/claude-code/overview
3. Claude Code - Memory / CLAUDE.md [Docs, ~20 min]
    https://docs.claude.com/en/docs/claude-code/memory</t>
  </si>
  <si>
    <t>1) Generate 5 Playwright tests with the assistant.
2) Refactor one into POM.
3) Ask it to explain a failing test.
4) Generate unit tests for bva.py.
5) Write CLAUDE.md / copilot-instructions.md (locator strategy, naming, no sleeps). Re-run step 1 and compare quality.</t>
  </si>
  <si>
    <t>CLAUDE.md in repo + before/after notes</t>
  </si>
  <si>
    <t>Add CLAUDE.md and copilot-instructions.md to qa-copilot</t>
  </si>
  <si>
    <t>GitHub Copilot, Claude Code</t>
  </si>
  <si>
    <t>Skills, agents, slash commands</t>
  </si>
  <si>
    <t>Package repeatable QA work as skills, subagents, and commands.</t>
  </si>
  <si>
    <t>1. Claude Code - Subagents [Docs, ~30 min]
    https://docs.claude.com/en/docs/claude-code/sub-agents
2. Claude Code - Slash commands [Docs, ~20 min]
    https://docs.claude.com/en/docs/claude-code/slash-commands
3. Claude Code - Agent Skills [Docs, ~30 min]
    https://docs.claude.com/en/docs/claude-code/skills
4. Anthropic example skills (read real SKILL.md files) [GitHub repo, ~30 min]
    https://github.com/anthropics/skills</t>
  </si>
  <si>
    <t>1) Skill 'test-case-designer' (technique rules + output format).
2) Subagent 'qa-pr-reviewer' (reads diff, lists impacted areas).
3) Slash command /gen-tests &lt;story&gt;.
4) Test on 3 inputs, iterate on failures.</t>
  </si>
  <si>
    <t>.claude/ folder (skill, subagent, command)</t>
  </si>
  <si>
    <t>PR Analyzer v0: git diff -&gt; impacted areas + test ideas</t>
  </si>
  <si>
    <t>Claude Code, Copilot prompt files</t>
  </si>
  <si>
    <t>AI-powered testing tools &amp; self-healing</t>
  </si>
  <si>
    <t>How self-healing works, where it fails (false heals), cost and lock-in.</t>
  </si>
  <si>
    <t>1. Playwright - Test agents (planner/generator/healer) - check current docs [Docs, ~30 min]
    https://playwright.dev/docs/test-agents
2. Healenium (open-source self-healing) [Tool, ~30 min]
    https://healenium.io
3. Applitools (visual AI) free trial [Tool, ~30 min]
    https://applitools.com
4. mabl / Testim (commercial AI test tools) [Tool, ~30 min]
    https://www.mabl.com</t>
  </si>
  <si>
    <t>1) Break 5 locators in your suite (change ids, move DOM).
2) Try an AI fixer (Playwright Test Agents/healer or MCP-assisted fix).
3) Trial ONE tool free tier (Healenium, Testim, mabl, Applitools).
4) Write a 1-page comparison: heal rate, false heals, cost.
5) Rule: any heal must be a reviewable diff, never silent.</t>
  </si>
  <si>
    <t>1-page tool comparison</t>
  </si>
  <si>
    <t>Healer step design note (AI proposes patch -&gt; human approves)</t>
  </si>
  <si>
    <t>Playwright agents, Healenium/Testim/mabl</t>
  </si>
  <si>
    <t>MCP fundamentals + Playwright MCP</t>
  </si>
  <si>
    <t>Client/server/tools/resources/prompts; configuring MCP in your assistant.</t>
  </si>
  <si>
    <t>1. MCP - Introduction &amp; core concepts [Docs, ~45 min]
    https://modelcontextprotocol.io/introduction
2. Playwright MCP server (repo + setup) [GitHub repo, ~30 min]
    https://github.com/microsoft/playwright-mcp
3. Claude Code - MCP [Docs, ~20 min]
    https://docs.claude.com/en/docs/claude-code/mcp</t>
  </si>
  <si>
    <t>1) Read MCP concept docs.
2) Add Playwright MCP to Claude Code or VS Code/Copilot.
3) Ask AI to explore saucedemo, list scenarios, generate AND run a test.
4) Compare effort/tokens vs codegen.</t>
  </si>
  <si>
    <t>mcp.json (no secrets) + short transcript summary</t>
  </si>
  <si>
    <t>Commit mcp.json template + docs on adding servers</t>
  </si>
  <si>
    <t>MCP, Playwright MCP</t>
  </si>
  <si>
    <t>Read stories &amp; PRs via MCP (GitHub/Jira)</t>
  </si>
  <si>
    <t>Pull requirements and diffs through tools, not copy-paste; use codebase context.</t>
  </si>
  <si>
    <t>1. GitHub MCP server (repo + setup) [GitHub repo, ~30 min]
    https://github.com/github/github-mcp-server
2. Atlassian Remote MCP server (Jira/Confluence) [Docs, ~30 min]
    https://www.atlassian.com/platform/remote-mcp-server
3. GitHub REST API - Pull requests [Docs, ~30 min]
    https://docs.github.com/en/rest/pulls</t>
  </si>
  <si>
    <t>1) Connect GitHub MCP (Jira via Atlassian MCP if you have access; else GitHub Issues).
2) Prompt: 'Read PR #N + linked issue; list changed behaviour, regression risks, test cases'.
3) Run on 3 PRs of an open-source demo repo.
4) Compare with manual review.</t>
  </si>
  <si>
    <t>3 PR analyses + comparison notes</t>
  </si>
  <si>
    <t>PR Analyzer v1: PR + changed files + callers (grep/AST) -&gt; TestCase JSON</t>
  </si>
  <si>
    <t>GitHub MCP, Atlassian MCP</t>
  </si>
  <si>
    <t>Write test cases to Confluence</t>
  </si>
  <si>
    <t>Publish structured test cases; idempotent updates; human approval gate.</t>
  </si>
  <si>
    <t>1. Confluence Cloud REST API v2 - intro [Docs, ~45 min]
    https://developer.atlassian.com/cloud/confluence/rest/v2/intro/
2. atlassian-python-api (Python client) [Docs, ~30 min]
    https://atlassian-python-api.readthedocs.io
3. Atlassian - create an API token [Docs, ~10 min]
    https://id.atlassian.com/manage-profile/security/api-tokens</t>
  </si>
  <si>
    <t>1) Free Atlassian space + API token (or Atlassian MCP).
2) Convert TestCase JSON -&gt; Confluence page with table (ID, title, steps, expected, priority, story link).
3) Re-run must UPDATE not duplicate.
4) Add labels and a --dry-run flag.</t>
  </si>
  <si>
    <t>Confluence page generated from JSON</t>
  </si>
  <si>
    <t>Confluence Publisher module (MCP + REST fallback, dry-run default)</t>
  </si>
  <si>
    <t>Atlassian MCP / Confluence REST</t>
  </si>
  <si>
    <t>Test case -&gt; automation -&gt; bug</t>
  </si>
  <si>
    <t>Generate code from cases, run it, triage failures, draft bugs with evidence.</t>
  </si>
  <si>
    <t>1. Jira Cloud REST API v3 - intro [Docs, ~30 min]
    https://developer.atlassian.com/cloud/jira/platform/rest/v3/intro/
2. GitHub REST API - Issues [Docs, ~20 min]
    https://docs.github.com/en/rest/issues
3. Playwright - Trace Viewer (use traces as bug evidence) [Docs, ~20 min]
    https://playwright.dev/python/docs/trace-viewer</t>
  </si>
  <si>
    <t>1) Pick 5 test cases -&gt; AI generates Playwright code following CLAUDE.md.
2) Run; on failure AI classifies: product bug / test bug / env / flaky (uses trace, screenshot, logs).
3) AI drafts bug (title, steps, expected, actual, severity).
4) Create GitHub/Jira issue after approval.
5) Seed 3 bugs (use saucedemo 'problem_user' or edit a local demo app).</t>
  </si>
  <si>
    <t>5 generated tests, 3 AI-drafted bugs in tracker</t>
  </si>
  <si>
    <t>Automation Generator + Bug Reporter modules</t>
  </si>
  <si>
    <t>Playwright, GitHub/Jira MCP</t>
  </si>
  <si>
    <t>Build your own MCP server  + week review</t>
  </si>
  <si>
    <t>Expose your QA utilities as MCP tools.</t>
  </si>
  <si>
    <t>1. MCP Python SDK (FastMCP quickstart) [GitHub repo, ~60 min]
    https://github.com/modelcontextprotocol/python-sdk
2. MCP - Build a server tutorial [Docs, ~45 min]
    https://modelcontextprotocol.io/introduction
3. MCP - example servers [GitHub repo, ~20 min]
    https://github.com/modelcontextprotocol/servers</t>
  </si>
  <si>
    <t>1) Python MCP SDK (FastMCP).
2) Tools: generate_boundary_values, get_test_case(id), list_failed_tests.
3) Connect to Claude Code and call them from chat.
4) Week-4 retro + Skills sheet update.</t>
  </si>
  <si>
    <t>mcp_server/ working and demoed</t>
  </si>
  <si>
    <t>mcp_server/ folder in qa-copilot</t>
  </si>
  <si>
    <t>Python MCP SDK</t>
  </si>
  <si>
    <t>How LLMs work + failure modes</t>
  </si>
  <si>
    <t>Tokens, context window, temperature, system prompts, RAG, non-determinism; hallucination, injection, bias, inconsistency.</t>
  </si>
  <si>
    <t>1. Andrej Karpathy - 'Intro to Large Language Models' (YouTube, search title) [Video, ~60 min]
    https://www.youtube.com/results?search_query=karpathy+intro+to+large+language+models
2. DeepLearning.AI short courses (LLM, RAG basics) [Courses, ~60 min]
    https://www.deeplearning.ai/short-courses/
3. OWASP Top 10 for LLM Apps (failure modes overview) [Guide, ~30 min]
    https://owasp.org/www-project-top-10-for-large-language-model-applications/</t>
  </si>
  <si>
    <t>Pick a chatbot (build a 50-line RAG bot over an FAQ/PDF or use a public one). Run 30 probes:
- known vs unknown facts, fake-citation bait
- same question x5 (inconsistency)
- paraphrases
- bias pairs (swap name/gender/nationality)
- out-of-scope requests
Log each in a findings table with severity.</t>
  </si>
  <si>
    <t>findings.csv (30 probes, severities)</t>
  </si>
  <si>
    <t>Collect failure modes the Copilot itself might show (hallucinated features, missed AC)</t>
  </si>
  <si>
    <t>Any LLM chatbot, simple RAG</t>
  </si>
  <si>
    <t>Evaluation: golden datasets</t>
  </si>
  <si>
    <t>Golden sets, rubrics, LLM-as-judge, similarity metrics, thresholds, variance.</t>
  </si>
  <si>
    <t>1. promptfoo - Intro &amp; getting started [Docs, ~45 min]
    https://www.promptfoo.dev/docs/intro
2. DeepEval - Getting started [Docs, ~30 min]
    https://deepeval.com/docs/getting-started
3. Ragas - RAG evaluation metrics [Docs, ~30 min]
    https://docs.ragas.io</t>
  </si>
  <si>
    <t>1) Build a 30-50 case golden dataset (id, input, expected, must_include, must_not_include, category).
2) Evaluator: contains/exact + semantic similarity + LLM-judge rubric (correctness, groundedness, tone) at temp 0.
3) Run 3x to measure variance; set pass threshold.
4) Try promptfoo or DeepEval.</t>
  </si>
  <si>
    <t>eval/golden.jsonl + evaluation report</t>
  </si>
  <si>
    <t>Eval harness v1: score Copilot output (BVA coverage, hallucinated features, schema validity)</t>
  </si>
  <si>
    <t>promptfoo, DeepEval, Ragas</t>
  </si>
  <si>
    <t>Prompt injection, jailbreaks, data leakage</t>
  </si>
  <si>
    <t>Direct/indirect injection, system-prompt extraction, PII leakage, tool misuse, OWASP LLM Top 10.</t>
  </si>
  <si>
    <t>1. Gandalf - prompt injection game (play first) [Interactive, ~45 min]
    https://gandalf.lakera.ai
2. promptfoo - Red teaming guide [Docs, ~30 min]
    https://www.promptfoo.dev/docs/red-team/
3. MITRE ATLAS (AI attack tactics) [Reference, ~20 min]
    https://atlas.mitre.org
4. OWASP Top 10 for LLM Apps [Guide, ~30 min]
    https://owasp.org/www-project-top-10-for-large-language-model-applications/</t>
  </si>
  <si>
    <t>1) Play Gandalf levels 1-4; note each technique.
2) Build 25 attack cases: direct, indirect (malicious text inside a doc/PR), prompt extraction, PII leak, harmful content, tool misuse.
3) Automate in pytest/promptfoo with clear pass criteria.
4) Map each to OWASP LLM Top 10.</t>
  </si>
  <si>
    <t>AI security test suite (PROJECT C)</t>
  </si>
  <si>
    <t>Harden Copilot: treat PR/story text as untrusted; test with an injected PR</t>
  </si>
  <si>
    <t>Gandalf, promptfoo, pytest</t>
  </si>
  <si>
    <t>Capstone integration</t>
  </si>
  <si>
    <t>Wire all modules into one flow with config and CLI.</t>
  </si>
  <si>
    <t>1. Typer - build a Python CLI [Docs, ~30 min]
    https://typer.tiangolo.com
2. Docker - Get started [Docs, ~45 min]
    https://docs.docker.com/get-started/
3. PyYAML / config handling (pydantic-settings) [Docs, ~20 min]
    https://docs.pydantic.dev/latest/concepts/pydantic_settings/</t>
  </si>
  <si>
    <t>End-to-end on a demo repo: PR -&gt; test cases -&gt; Confluence -&gt; Playwright code -&gt; run -&gt; bug -&gt; report.
1) CLI: qa-copilot run --pr &lt;url&gt; --dry-run
2) config.yaml (LLM provider, Confluence, Jira/GitHub)
3) Dockerfile + GitHub Action
4) 10 unit tests; fix top 5 issues.</t>
  </si>
  <si>
    <t>Working end-to-end demo run</t>
  </si>
  <si>
    <t>Integrated qa-copilot v1.0 (see Capstone sheet)</t>
  </si>
  <si>
    <t>All of the above</t>
  </si>
  <si>
    <t>Ship &amp; showcase  [MILESTONE]</t>
  </si>
  <si>
    <t>Documentation, demo, portfolio, interview readiness.</t>
  </si>
  <si>
    <t>1. Make a README [Guide, ~20 min]
    https://www.makeareadme.com
2. Choose a License [Guide, ~10 min]
    https://choosealicense.com
3. Shields.io badges [Tool, ~10 min]
    https://shields.io
4. Mermaid - architecture diagrams in README [Docs, ~20 min]
    https://mermaid.js.org</t>
  </si>
  <si>
    <t>1) README: architecture diagram, 5-minute setup, demo GIF/video.
2) Docs: plug in your own LLM / Confluence / Jira.
3) Sample outputs + LICENSE.
4) Pin 3 repos on GitHub profile.
5) Update resume/LinkedIn with metrics (time saved, cases generated, bugs found).
6) Final Skills self-rating + 10 mock interview questions.</t>
  </si>
  <si>
    <t>Public repos A, B, C + Capstone; 1 LinkedIn post</t>
  </si>
  <si>
    <t>Release v1.0 tag</t>
  </si>
  <si>
    <t>GitHub, LinkedIn</t>
  </si>
  <si>
    <t>Where to learn each topic (all free; first item = start here)</t>
  </si>
  <si>
    <t>Daily rhythm: ~1 hr LEARN from this sheet, then ~2 hrs PRACTICE with the exercise. Links change - if one breaks, search the title.</t>
  </si>
  <si>
    <t>Resource</t>
  </si>
  <si>
    <t>Type</t>
  </si>
  <si>
    <t>Est. min</t>
  </si>
  <si>
    <t>URL</t>
  </si>
  <si>
    <t>Pro Git book - ch.1-3 (basics, branching)</t>
  </si>
  <si>
    <t>Book/docs</t>
  </si>
  <si>
    <t>https://git-scm.com/book/en/v2</t>
  </si>
  <si>
    <t>GitHub Skills - Introduction to GitHub (hands-on)</t>
  </si>
  <si>
    <t>Interactive</t>
  </si>
  <si>
    <t>https://skills.github.com</t>
  </si>
  <si>
    <t>GitHub Docs - Get started</t>
  </si>
  <si>
    <t>Docs</t>
  </si>
  <si>
    <t>https://docs.github.com/en/get-started</t>
  </si>
  <si>
    <t>Automate the Boring Stuff - Python basics ch.1-6</t>
  </si>
  <si>
    <t>Free book</t>
  </si>
  <si>
    <t>https://automatetheboringstuff.com</t>
  </si>
  <si>
    <t>Official Python Tutorial (loops, functions, errors)</t>
  </si>
  <si>
    <t>https://docs.python.org/3/tutorial/</t>
  </si>
  <si>
    <t>Real Python - beginner articles</t>
  </si>
  <si>
    <t>Articles</t>
  </si>
  <si>
    <t>https://realpython.com</t>
  </si>
  <si>
    <t>Python docs - dataclasses</t>
  </si>
  <si>
    <t>https://docs.python.org/3/library/dataclasses.html</t>
  </si>
  <si>
    <t>Python docs - json and csv modules</t>
  </si>
  <si>
    <t>https://docs.python.org/3/library/json.html</t>
  </si>
  <si>
    <t>Pydantic - getting started</t>
  </si>
  <si>
    <t>https://docs.pydantic.dev</t>
  </si>
  <si>
    <t>JSON Schema - Learn</t>
  </si>
  <si>
    <t>https://json-schema.org/learn</t>
  </si>
  <si>
    <t>SQLBolt - interactive SQL lessons 1-18</t>
  </si>
  <si>
    <t>https://sqlbolt.com</t>
  </si>
  <si>
    <t>SQLite - SQL language reference</t>
  </si>
  <si>
    <t>https://sqlite.org/lang.html</t>
  </si>
  <si>
    <t>Chinook sample database (practice data)</t>
  </si>
  <si>
    <t>Dataset</t>
  </si>
  <si>
    <t>https://github.com/lerocha/chinook-database</t>
  </si>
  <si>
    <t>SQLZoo - extra practice</t>
  </si>
  <si>
    <t>https://sqlzoo.net</t>
  </si>
  <si>
    <t>Postman Learning Center - 'Postman 101'</t>
  </si>
  <si>
    <t>Docs/Video</t>
  </si>
  <si>
    <t>https://learning.postman.com</t>
  </si>
  <si>
    <t>MDN - HTTP overview, methods, status codes</t>
  </si>
  <si>
    <t>https://developer.mozilla.org/en-US/docs/Web/HTTP</t>
  </si>
  <si>
    <t>Restful-Booker API docs (your practice API)</t>
  </si>
  <si>
    <t>API docs</t>
  </si>
  <si>
    <t>https://restful-booker.herokuapp.com/apidoc/index.html</t>
  </si>
  <si>
    <t>Requests - Quickstart</t>
  </si>
  <si>
    <t>https://requests.readthedocs.io</t>
  </si>
  <si>
    <t>pytest - Get started + fixtures</t>
  </si>
  <si>
    <t>https://docs.pytest.org</t>
  </si>
  <si>
    <t>Real Python - Effective testing with pytest</t>
  </si>
  <si>
    <t>Article</t>
  </si>
  <si>
    <t>https://realpython.com/pytest-python-testing/</t>
  </si>
  <si>
    <t>pytest - How to parametrize</t>
  </si>
  <si>
    <t>https://docs.pytest.org/en/stable/how-to/parametrize.html</t>
  </si>
  <si>
    <t>jsonschema validation in Python</t>
  </si>
  <si>
    <t>https://python-jsonschema.readthedocs.io</t>
  </si>
  <si>
    <t>Allure Report docs</t>
  </si>
  <si>
    <t>https://allurereport.org/docs/</t>
  </si>
  <si>
    <t>pytest-html</t>
  </si>
  <si>
    <t>https://pytest-html.readthedocs.io</t>
  </si>
  <si>
    <t>Playwright Python - Getting started</t>
  </si>
  <si>
    <t>https://playwright.dev/python/docs/intro</t>
  </si>
  <si>
    <t>Playwright - Locators</t>
  </si>
  <si>
    <t>https://playwright.dev/python/docs/locators</t>
  </si>
  <si>
    <t>Playwright - Trace Viewer</t>
  </si>
  <si>
    <t>https://playwright.dev/python/docs/trace-viewer</t>
  </si>
  <si>
    <t>Playwright - Codegen</t>
  </si>
  <si>
    <t>https://playwright.dev/python/docs/codegen</t>
  </si>
  <si>
    <t>Playwright - Page Object Models</t>
  </si>
  <si>
    <t>https://playwright.dev/python/docs/pom</t>
  </si>
  <si>
    <t>Playwright - Authentication (storage_state)</t>
  </si>
  <si>
    <t>https://playwright.dev/python/docs/auth</t>
  </si>
  <si>
    <t>Playwright - API testing</t>
  </si>
  <si>
    <t>https://playwright.dev/python/docs/api-testing</t>
  </si>
  <si>
    <t>GitHub Actions - Quickstart</t>
  </si>
  <si>
    <t>https://docs.github.com/en/actions/quickstart</t>
  </si>
  <si>
    <t>Playwright - Continuous Integration</t>
  </si>
  <si>
    <t>https://playwright.dev/python/docs/ci-intro</t>
  </si>
  <si>
    <t>GitHub Skills - Hello GitHub Actions</t>
  </si>
  <si>
    <t>Anthropic - Prompt engineering overview</t>
  </si>
  <si>
    <t>https://docs.claude.com/en/docs/build-with-claude/prompt-engineering/overview</t>
  </si>
  <si>
    <t>OpenAI - Prompt engineering guide</t>
  </si>
  <si>
    <t>https://platform.openai.com/docs/guides/prompt-engineering</t>
  </si>
  <si>
    <t>Prompt Engineering Guide</t>
  </si>
  <si>
    <t>Guide</t>
  </si>
  <si>
    <t>https://www.promptingguide.ai</t>
  </si>
  <si>
    <t>Prompt Engineering Guide - techniques (few-shot, CoT, structured output)</t>
  </si>
  <si>
    <t>Ministry of Testing - articles &amp; community</t>
  </si>
  <si>
    <t>Community</t>
  </si>
  <si>
    <t>https://www.ministryoftesting.com</t>
  </si>
  <si>
    <t>Anthropic - Prompt engineering: use XML/structured output</t>
  </si>
  <si>
    <t>GitHub Copilot docs - Get started + custom instructions</t>
  </si>
  <si>
    <t>https://docs.github.com/en/copilot</t>
  </si>
  <si>
    <t>Claude Code - Overview and quickstart</t>
  </si>
  <si>
    <t>https://docs.claude.com/en/docs/claude-code/overview</t>
  </si>
  <si>
    <t>Claude Code - Memory / CLAUDE.md</t>
  </si>
  <si>
    <t>https://docs.claude.com/en/docs/claude-code/memory</t>
  </si>
  <si>
    <t>Claude Code - Subagents</t>
  </si>
  <si>
    <t>https://docs.claude.com/en/docs/claude-code/sub-agents</t>
  </si>
  <si>
    <t>Claude Code - Slash commands</t>
  </si>
  <si>
    <t>https://docs.claude.com/en/docs/claude-code/slash-commands</t>
  </si>
  <si>
    <t>Claude Code - Agent Skills</t>
  </si>
  <si>
    <t>https://docs.claude.com/en/docs/claude-code/skills</t>
  </si>
  <si>
    <t>Anthropic example skills (read real SKILL.md files)</t>
  </si>
  <si>
    <t>GitHub repo</t>
  </si>
  <si>
    <t>https://github.com/anthropics/skills</t>
  </si>
  <si>
    <t>Playwright - Test agents (planner/generator/healer) - check current docs</t>
  </si>
  <si>
    <t>https://playwright.dev/docs/test-agents</t>
  </si>
  <si>
    <t>Healenium (open-source self-healing)</t>
  </si>
  <si>
    <t>Tool</t>
  </si>
  <si>
    <t>https://healenium.io</t>
  </si>
  <si>
    <t>Applitools (visual AI) free trial</t>
  </si>
  <si>
    <t>https://applitools.com</t>
  </si>
  <si>
    <t>mabl / Testim (commercial AI test tools)</t>
  </si>
  <si>
    <t>https://www.mabl.com</t>
  </si>
  <si>
    <t>MCP - Introduction &amp; core concepts</t>
  </si>
  <si>
    <t>https://modelcontextprotocol.io/introduction</t>
  </si>
  <si>
    <t>Playwright MCP server (repo + setup)</t>
  </si>
  <si>
    <t>https://github.com/microsoft/playwright-mcp</t>
  </si>
  <si>
    <t>Claude Code - MCP</t>
  </si>
  <si>
    <t>https://docs.claude.com/en/docs/claude-code/mcp</t>
  </si>
  <si>
    <t>GitHub MCP server (repo + setup)</t>
  </si>
  <si>
    <t>https://github.com/github/github-mcp-server</t>
  </si>
  <si>
    <t>Atlassian Remote MCP server (Jira/Confluence)</t>
  </si>
  <si>
    <t>https://www.atlassian.com/platform/remote-mcp-server</t>
  </si>
  <si>
    <t>GitHub REST API - Pull requests</t>
  </si>
  <si>
    <t>https://docs.github.com/en/rest/pulls</t>
  </si>
  <si>
    <t>Confluence Cloud REST API v2 - intro</t>
  </si>
  <si>
    <t>https://developer.atlassian.com/cloud/confluence/rest/v2/intro/</t>
  </si>
  <si>
    <t>atlassian-python-api (Python client)</t>
  </si>
  <si>
    <t>https://atlassian-python-api.readthedocs.io</t>
  </si>
  <si>
    <t>Atlassian - create an API token</t>
  </si>
  <si>
    <t>https://id.atlassian.com/manage-profile/security/api-tokens</t>
  </si>
  <si>
    <t>Jira Cloud REST API v3 - intro</t>
  </si>
  <si>
    <t>https://developer.atlassian.com/cloud/jira/platform/rest/v3/intro/</t>
  </si>
  <si>
    <t>GitHub REST API - Issues</t>
  </si>
  <si>
    <t>https://docs.github.com/en/rest/issues</t>
  </si>
  <si>
    <t>Playwright - Trace Viewer (use traces as bug evidence)</t>
  </si>
  <si>
    <t>MCP Python SDK (FastMCP quickstart)</t>
  </si>
  <si>
    <t>https://github.com/modelcontextprotocol/python-sdk</t>
  </si>
  <si>
    <t>MCP - Build a server tutorial</t>
  </si>
  <si>
    <t>MCP - example servers</t>
  </si>
  <si>
    <t>https://github.com/modelcontextprotocol/servers</t>
  </si>
  <si>
    <t>Andrej Karpathy - 'Intro to Large Language Models' (YouTube, search title)</t>
  </si>
  <si>
    <t>Video</t>
  </si>
  <si>
    <t>https://www.youtube.com/results?search_query=karpathy+intro+to+large+language+models</t>
  </si>
  <si>
    <t>DeepLearning.AI short courses (LLM, RAG basics)</t>
  </si>
  <si>
    <t>Courses</t>
  </si>
  <si>
    <t>https://www.deeplearning.ai/short-courses/</t>
  </si>
  <si>
    <t>OWASP Top 10 for LLM Apps (failure modes overview)</t>
  </si>
  <si>
    <t>https://owasp.org/www-project-top-10-for-large-language-model-applications/</t>
  </si>
  <si>
    <t>promptfoo - Intro &amp; getting started</t>
  </si>
  <si>
    <t>https://www.promptfoo.dev/docs/intro</t>
  </si>
  <si>
    <t>DeepEval - Getting started</t>
  </si>
  <si>
    <t>https://deepeval.com/docs/getting-started</t>
  </si>
  <si>
    <t>Ragas - RAG evaluation metrics</t>
  </si>
  <si>
    <t>https://docs.ragas.io</t>
  </si>
  <si>
    <t>Gandalf - prompt injection game (play first)</t>
  </si>
  <si>
    <t>https://gandalf.lakera.ai</t>
  </si>
  <si>
    <t>promptfoo - Red teaming guide</t>
  </si>
  <si>
    <t>https://www.promptfoo.dev/docs/red-team/</t>
  </si>
  <si>
    <t>MITRE ATLAS (AI attack tactics)</t>
  </si>
  <si>
    <t>Reference</t>
  </si>
  <si>
    <t>https://atlas.mitre.org</t>
  </si>
  <si>
    <t>OWASP Top 10 for LLM Apps</t>
  </si>
  <si>
    <t>Typer - build a Python CLI</t>
  </si>
  <si>
    <t>https://typer.tiangolo.com</t>
  </si>
  <si>
    <t>Docker - Get started</t>
  </si>
  <si>
    <t>https://docs.docker.com/get-started/</t>
  </si>
  <si>
    <t>PyYAML / config handling (pydantic-settings)</t>
  </si>
  <si>
    <t>https://docs.pydantic.dev/latest/concepts/pydantic_settings/</t>
  </si>
  <si>
    <t>Make a README</t>
  </si>
  <si>
    <t>https://www.makeareadme.com</t>
  </si>
  <si>
    <t>Choose a License</t>
  </si>
  <si>
    <t>https://choosealicense.com</t>
  </si>
  <si>
    <t>Shields.io badges</t>
  </si>
  <si>
    <t>https://shields.io</t>
  </si>
  <si>
    <t>Mermaid - architecture diagrams in README</t>
  </si>
  <si>
    <t>https://mermaid.js.org</t>
  </si>
  <si>
    <t>Daily tracker</t>
  </si>
  <si>
    <t>EXAMPLE of a filled row -&gt; Status: Done | Actual start: 05-Oct-2026 | Actual hrs: 3.5 | Evidence: https://github.com/you/ai-qa-journey/pull/1 | Confidence: 4 | Notes: Rebase confused me, redo conflict drill.</t>
  </si>
  <si>
    <t>Planned hrs</t>
  </si>
  <si>
    <t>Status</t>
  </si>
  <si>
    <t>Actual start</t>
  </si>
  <si>
    <t>Actual hrs</t>
  </si>
  <si>
    <t>Evidence link (GitHub/commit/page)</t>
  </si>
  <si>
    <t>Confidence (1-5)</t>
  </si>
  <si>
    <t>Notes / blockers</t>
  </si>
  <si>
    <t>Not Started</t>
  </si>
  <si>
    <t>Progress dashboard</t>
  </si>
  <si>
    <t>All formulas - driven by the Tracker sheet.</t>
  </si>
  <si>
    <t>Days planned</t>
  </si>
  <si>
    <t>Days done</t>
  </si>
  <si>
    <t>% complete</t>
  </si>
  <si>
    <t>Days blocked</t>
  </si>
  <si>
    <t>(Total row below)</t>
  </si>
  <si>
    <t>TOTAL</t>
  </si>
  <si>
    <t>Days behind schedule (planned date passed, not Done)</t>
  </si>
  <si>
    <t>Average confidence (1-5) of completed days</t>
  </si>
  <si>
    <t>Hours variance (Actual - Planned, for days with hours logged)</t>
  </si>
  <si>
    <t>Milestones: Day 10 = Projects A+B live in CI | Day 15 = AI skills/agents built | Day 20 = MCP pipeline working | Day 25 = Capstone + Project C shipped</t>
  </si>
  <si>
    <t>Capstone: QA-Copilot - a reusable AI-QA toolkit anyone can run</t>
  </si>
  <si>
    <t>Built incrementally (see 'Capstone increment' column in the plan). Provider-agnostic, config-driven, human-in-the-loop.</t>
  </si>
  <si>
    <t>#</t>
  </si>
  <si>
    <t>Module</t>
  </si>
  <si>
    <t>What it does</t>
  </si>
  <si>
    <t>Input</t>
  </si>
  <si>
    <t>Output</t>
  </si>
  <si>
    <t>How AI is used</t>
  </si>
  <si>
    <t>Guardrails</t>
  </si>
  <si>
    <t>Built in</t>
  </si>
  <si>
    <t>Done when (acceptance criteria)</t>
  </si>
  <si>
    <t>Core schema &amp; validators</t>
  </si>
  <si>
    <t>Canonical TestCase/Bug schema; BVA/EP helpers; validators for duplicates, traceability, schema.</t>
  </si>
  <si>
    <t>-</t>
  </si>
  <si>
    <t>TestCase JSON, validation report</t>
  </si>
  <si>
    <t>None - deterministic checks of AI output</t>
  </si>
  <si>
    <t>Reject output that fails schema</t>
  </si>
  <si>
    <t>Wk1-3</t>
  </si>
  <si>
    <t>Invalid/duplicate/untraceable cases are rejected with reasons; 10+ unit tests</t>
  </si>
  <si>
    <t>PR Analyzer</t>
  </si>
  <si>
    <t>Reads a PR diff + changed files + callers; finds impacted areas and regression risk.</t>
  </si>
  <si>
    <t>PR URL or git diff</t>
  </si>
  <si>
    <t>Impact summary + risk score</t>
  </si>
  <si>
    <t>LLM summarises change + reasons about risk using code context</t>
  </si>
  <si>
    <t>PR text treated as UNTRUSTED data (injection-safe)</t>
  </si>
  <si>
    <t>Wk3-4</t>
  </si>
  <si>
    <t>Given 3 sample PRs, lists impacted modules matching your manual review &gt;= 80%</t>
  </si>
  <si>
    <t>Test Case Generator</t>
  </si>
  <si>
    <t>Creates functional, negative, boundary, and edge cases from story/AC/PR.</t>
  </si>
  <si>
    <t>Story, AC, PR analysis</t>
  </si>
  <si>
    <t>TestCase JSON/CSV/Markdown</t>
  </si>
  <si>
    <t>Prompt templates with BVA/EP/risk rules; asks clarifying questions</t>
  </si>
  <si>
    <t>Schema-validated; max cases cap; assumptions listed</t>
  </si>
  <si>
    <t>Covers all AC; all BVA points present; 0 invented features on golden set</t>
  </si>
  <si>
    <t>Confluence Publisher</t>
  </si>
  <si>
    <t>Publishes/updates test cases as a Confluence page with traceability.</t>
  </si>
  <si>
    <t>TestCase JSON</t>
  </si>
  <si>
    <t>Confluence page URL</t>
  </si>
  <si>
    <t>AI formats/links; MCP or REST API does the write</t>
  </si>
  <si>
    <t>Dry-run default; approval flag; idempotent update (no duplicates)</t>
  </si>
  <si>
    <t>Wk4</t>
  </si>
  <si>
    <t>Re-running updates same page; dry-run shows diff only</t>
  </si>
  <si>
    <t>Automation Generator</t>
  </si>
  <si>
    <t>Turns approved test cases into Playwright (pytest) code following project conventions.</t>
  </si>
  <si>
    <t>Approved TestCase JSON + CLAUDE.md rules</t>
  </si>
  <si>
    <t>Test files in tests/generated/</t>
  </si>
  <si>
    <t>LLM code-gen with conventions; lint + dry-run executes before saving</t>
  </si>
  <si>
    <t>Code must pass lint + run once; no sleeps; no secrets</t>
  </si>
  <si>
    <t>80%+ of generated tests run green on demo app without manual edits</t>
  </si>
  <si>
    <t>Runner &amp; Healer</t>
  </si>
  <si>
    <t>Runs tests, collects results/traces; proposes locator fixes.</t>
  </si>
  <si>
    <t>Test folder</t>
  </si>
  <si>
    <t>Result JSON, traces</t>
  </si>
  <si>
    <t>AI proposes a patch for broken locators</t>
  </si>
  <si>
    <t>Patch is a reviewable diff; never auto-merged</t>
  </si>
  <si>
    <t>Wk2-4</t>
  </si>
  <si>
    <t>Broken locator -&gt; patch proposal; false-heal rate tracked</t>
  </si>
  <si>
    <t>Bug Reporter</t>
  </si>
  <si>
    <t>Classifies failures (product/test/env/flaky) and drafts bugs with evidence.</t>
  </si>
  <si>
    <t>Failure + trace + screenshot + logs</t>
  </si>
  <si>
    <t>GitHub/Jira issue draft -&gt; issue</t>
  </si>
  <si>
    <t>LLM triage + bug writing</t>
  </si>
  <si>
    <t>Approval before create; duplicate check by title/hash</t>
  </si>
  <si>
    <t>3 seeded bugs found, classified correctly, issues created with attachments</t>
  </si>
  <si>
    <t>AI Eval &amp; Security Harness</t>
  </si>
  <si>
    <t>Dogfoods: scores Copilot outputs against golden data; runs injection/hallucination tests.</t>
  </si>
  <si>
    <t>golden.jsonl, attack suite</t>
  </si>
  <si>
    <t>Score report, pass/fail threshold</t>
  </si>
  <si>
    <t>LLM-as-judge (temp 0) + deterministic checks</t>
  </si>
  <si>
    <t>Run in CI; fail build below threshold</t>
  </si>
  <si>
    <t>Wk5</t>
  </si>
  <si>
    <t>CI fails when quality drops; injected PR does not change behaviour</t>
  </si>
  <si>
    <t>CLI, config &amp; packaging</t>
  </si>
  <si>
    <t>Single entry point for everyone: qa-copilot run --pr &lt;url&gt; --dry-run</t>
  </si>
  <si>
    <t>config.yaml</t>
  </si>
  <si>
    <t>Reports</t>
  </si>
  <si>
    <t>Provider adapters (Claude / OpenAI / Copilot / local)</t>
  </si>
  <si>
    <t>No secrets in repo; .env.example; sample demo repo</t>
  </si>
  <si>
    <t>New user runs demo in 5 minutes via README or Docker</t>
  </si>
  <si>
    <t>Flow</t>
  </si>
  <si>
    <t>PR / Story  -&gt;  PR Analyzer  -&gt;  Test Case Generator  -&gt;  [human review]  -&gt;  Confluence Publisher  -&gt;  Automation Generator  -&gt;  Runner/Healer  -&gt;  Bug Reporter  -&gt;  Report  (Eval &amp; Security harness guards every AI step)</t>
  </si>
  <si>
    <t>Design principles so that ANYONE can use it</t>
  </si>
  <si>
    <t>- Config-driven: no hardcoded URLs, tokens, models. Everything in config.yaml + .env.</t>
  </si>
  <si>
    <t>- Provider-agnostic LLM adapter (swap Claude/OpenAI/Copilot/local).</t>
  </si>
  <si>
    <t>- Human-in-the-loop: dry-run by default; every write (Confluence, Jira, git) needs an explicit approval flag.</t>
  </si>
  <si>
    <t>- Schema-first: all AI output is JSON validated before use.</t>
  </si>
  <si>
    <t>- Demo mode: ships with a sample app + sample PRs so a new user sees results without setup.</t>
  </si>
  <si>
    <t>- Treat external text (PRs, tickets, docs) as untrusted - prompt-injection tests are part of CI.</t>
  </si>
  <si>
    <t>GitHub portfolio checklist</t>
  </si>
  <si>
    <t>Project</t>
  </si>
  <si>
    <t>Item</t>
  </si>
  <si>
    <t>Link / notes</t>
  </si>
  <si>
    <t>A - Playwright UI project</t>
  </si>
  <si>
    <t>POM structure, 8+ tests, storage_state login reuse</t>
  </si>
  <si>
    <t>GitHub Actions CI green + report/trace artifacts</t>
  </si>
  <si>
    <t>README with how-to-run + badge</t>
  </si>
  <si>
    <t>B - API test suite</t>
  </si>
  <si>
    <t>CRUD + negative + data-driven tests, schema validation</t>
  </si>
  <si>
    <t>Smoke/regression markers + HTML report</t>
  </si>
  <si>
    <t>CI green + Postman collection included</t>
  </si>
  <si>
    <t>C - AI system testing</t>
  </si>
  <si>
    <t>Golden dataset (30-50 cases) + evaluator</t>
  </si>
  <si>
    <t>Hallucination + inconsistency + bias probes</t>
  </si>
  <si>
    <t>25 prompt-injection/leak cases, mapped to OWASP LLM Top 10</t>
  </si>
  <si>
    <t>Capstone - QA-Copilot</t>
  </si>
  <si>
    <t>PR -&gt; test cases -&gt; Confluence flow works (dry-run + real)</t>
  </si>
  <si>
    <t>Test cases -&gt; Playwright code -&gt; run -&gt; bug draft flow works</t>
  </si>
  <si>
    <t>README, demo video/GIF, Docker, config.yaml, LICENSE</t>
  </si>
  <si>
    <t>Eval/security harness in CI</t>
  </si>
  <si>
    <t>Portfolio completion</t>
  </si>
  <si>
    <t>Skills self-assessment (1 = never done, 5 = can teach it)</t>
  </si>
  <si>
    <t>Rate 'Before' on Day 1, 'After' on Day 25. Example row: Git branching | Before 2 | After 4.</t>
  </si>
  <si>
    <t>Skill</t>
  </si>
  <si>
    <t>Area</t>
  </si>
  <si>
    <t>Before (1-5)</t>
  </si>
  <si>
    <t>After (1-5)</t>
  </si>
  <si>
    <t>Gain</t>
  </si>
  <si>
    <t>Git/GitHub workflow</t>
  </si>
  <si>
    <t>Coding</t>
  </si>
  <si>
    <t>Python scripting</t>
  </si>
  <si>
    <t>SQL validation queries</t>
  </si>
  <si>
    <t>REST/HTTP &amp; Postman</t>
  </si>
  <si>
    <t>API automation (pytest)</t>
  </si>
  <si>
    <t>Automation</t>
  </si>
  <si>
    <t>Playwright UI automation</t>
  </si>
  <si>
    <t>CI with GitHub Actions</t>
  </si>
  <si>
    <t>AI for QA</t>
  </si>
  <si>
    <t>Coding assistants (Copilot/Claude Code)</t>
  </si>
  <si>
    <t>Skills / agents / commands</t>
  </si>
  <si>
    <t>Self-healing &amp; AI test tools</t>
  </si>
  <si>
    <t>MCP usage (Jira/Confluence/Playwright)</t>
  </si>
  <si>
    <t>MCP</t>
  </si>
  <si>
    <t>Building an MCP server</t>
  </si>
  <si>
    <t>LLM failure modes</t>
  </si>
  <si>
    <t>Testing AI</t>
  </si>
  <si>
    <t>Golden datasets &amp; evaluation</t>
  </si>
  <si>
    <t>Prompt injection / AI security testing</t>
  </si>
  <si>
    <t>Average</t>
  </si>
  <si>
    <t>Practice sites &amp; docs (verify links - sites change)</t>
  </si>
  <si>
    <t>Use</t>
  </si>
  <si>
    <t>UI practice</t>
  </si>
  <si>
    <t>Sauce Demo (has 'problem_user' for seeded bugs)</t>
  </si>
  <si>
    <t>https://www.saucedemo.com</t>
  </si>
  <si>
    <t>API practice</t>
  </si>
  <si>
    <t>Restful-Booker</t>
  </si>
  <si>
    <t>https://restful-booker.herokuapp.com</t>
  </si>
  <si>
    <t>Playwright docs</t>
  </si>
  <si>
    <t>Playwright</t>
  </si>
  <si>
    <t>https://playwright.dev</t>
  </si>
  <si>
    <t>MCP concepts</t>
  </si>
  <si>
    <t>Model Context Protocol</t>
  </si>
  <si>
    <t>https://modelcontextprotocol.io</t>
  </si>
  <si>
    <t>Claude Code docs</t>
  </si>
  <si>
    <t>Claude Code overview</t>
  </si>
  <si>
    <t>Prompt injection practice</t>
  </si>
  <si>
    <t>Gandalf (Lakera)</t>
  </si>
  <si>
    <t>AI security checklist</t>
  </si>
  <si>
    <t>OWASP Top 10 for LLM Applications</t>
  </si>
  <si>
    <t>LLM evals</t>
  </si>
  <si>
    <t>promptfoo</t>
  </si>
  <si>
    <t>https://www.promptfoo.dev</t>
  </si>
  <si>
    <t>Jira/Confluence</t>
  </si>
  <si>
    <t>Atlassian free cloud plan</t>
  </si>
  <si>
    <t>https://www.atlassian.com/software/jira/free</t>
  </si>
  <si>
    <t>https://github.com/AliHassan-creator/ai-qa-journey/pull/2</t>
  </si>
  <si>
    <t>N/A</t>
  </si>
  <si>
    <t>Done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</si>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</sst>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\ dd\-mmm\-yyyy"/>
    <numFmt numFmtId="165" formatCode="ddd\ dd\-mmm"/>
    <numFmt numFmtId="166" formatCode="dd\-mmm\-yyyy"/>
    <numFmt numFmtId="167" formatCode="0.0"/>
  </numFmts>
  <fonts count="12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  <font>
      <u/>
      <sz val="10"/>
      <color rgb="FF0563C1"/>
      <name val="Arial"/>
      <family val="2"/>
    </font>
    <font>
      <i/>
      <sz val="8"/>
      <color rgb="FF808080"/>
      <name val="Arial"/>
      <family val="2"/>
    </font>
    <font>
      <i/>
      <sz val="9"/>
      <name val="Arial"/>
      <family val="2"/>
    </font>
    <font>
      <u/>
      <sz val="11"/>
      <color theme="1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E2EFDA"/>
      </patternFill>
    </fill>
    <fill>
      <patternFill patternType="solid">
        <fgColor rgb="FFE2EFDA"/>
        <bgColor rgb="FFDEEAF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ADCF4"/>
        <bgColor rgb="FFDEEAF6"/>
      </patternFill>
    </fill>
    <fill>
      <patternFill patternType="solid">
        <fgColor rgb="FF1F3864"/>
        <bgColor rgb="FF333333"/>
      </patternFill>
    </fill>
    <fill>
      <patternFill patternType="solid">
        <fgColor rgb="FFD9D9D9"/>
        <bgColor rgb="FFEADCF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2" borderId="0" xfId="0" applyNumberFormat="1" applyFont="1" applyFill="1"/>
    <xf numFmtId="0" fontId="4" fillId="2" borderId="0" xfId="0" applyFont="1" applyFill="1"/>
    <xf numFmtId="164" fontId="5" fillId="0" borderId="0" xfId="0" applyNumberFormat="1" applyFont="1"/>
    <xf numFmtId="9" fontId="5" fillId="0" borderId="0" xfId="0" applyNumberFormat="1" applyFont="1"/>
    <xf numFmtId="0" fontId="5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6" fillId="8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165" fontId="5" fillId="3" borderId="1" xfId="0" applyNumberFormat="1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65" fontId="5" fillId="4" borderId="1" xfId="0" applyNumberFormat="1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165" fontId="5" fillId="5" borderId="1" xfId="0" applyNumberFormat="1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165" fontId="5" fillId="6" borderId="1" xfId="0" applyNumberFormat="1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165" fontId="5" fillId="7" borderId="1" xfId="0" applyNumberFormat="1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165" fontId="7" fillId="3" borderId="1" xfId="0" applyNumberFormat="1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165" fontId="7" fillId="4" borderId="1" xfId="0" applyNumberFormat="1" applyFont="1" applyFill="1" applyBorder="1" applyAlignment="1">
      <alignment vertical="top" wrapText="1"/>
    </xf>
    <xf numFmtId="165" fontId="7" fillId="5" borderId="1" xfId="0" applyNumberFormat="1" applyFont="1" applyFill="1" applyBorder="1" applyAlignment="1">
      <alignment vertical="top" wrapText="1"/>
    </xf>
    <xf numFmtId="165" fontId="7" fillId="6" borderId="1" xfId="0" applyNumberFormat="1" applyFont="1" applyFill="1" applyBorder="1" applyAlignment="1">
      <alignment vertical="top" wrapText="1"/>
    </xf>
    <xf numFmtId="165" fontId="7" fillId="7" borderId="1" xfId="0" applyNumberFormat="1" applyFont="1" applyFill="1" applyBorder="1" applyAlignment="1">
      <alignment vertical="top" wrapText="1"/>
    </xf>
    <xf numFmtId="0" fontId="5" fillId="3" borderId="1" xfId="0" applyFont="1" applyFill="1" applyBorder="1"/>
    <xf numFmtId="0" fontId="5" fillId="0" borderId="1" xfId="0" applyFont="1" applyBorder="1"/>
    <xf numFmtId="9" fontId="5" fillId="0" borderId="1" xfId="0" applyNumberFormat="1" applyFont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0" fontId="9" fillId="0" borderId="0" xfId="0" applyFont="1"/>
    <xf numFmtId="0" fontId="3" fillId="9" borderId="1" xfId="0" applyFont="1" applyFill="1" applyBorder="1"/>
    <xf numFmtId="9" fontId="3" fillId="9" borderId="1" xfId="0" applyNumberFormat="1" applyFont="1" applyFill="1" applyBorder="1"/>
    <xf numFmtId="167" fontId="3" fillId="0" borderId="0" xfId="0" applyNumberFormat="1" applyFont="1"/>
    <xf numFmtId="0" fontId="10" fillId="0" borderId="0" xfId="0" applyFont="1"/>
    <xf numFmtId="9" fontId="3" fillId="0" borderId="0" xfId="0" applyNumberFormat="1" applyFont="1"/>
    <xf numFmtId="0" fontId="4" fillId="0" borderId="1" xfId="0" applyFont="1" applyBorder="1"/>
    <xf numFmtId="0" fontId="11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4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6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ADCF4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playwright.dev/python/docs/locators" TargetMode="External"/><Relationship Id="rId21" Type="http://schemas.openxmlformats.org/officeDocument/2006/relationships/hyperlink" Target="https://docs.pytest.org/en/stable/how-to/parametrize.html" TargetMode="External"/><Relationship Id="rId42" Type="http://schemas.openxmlformats.org/officeDocument/2006/relationships/hyperlink" Target="https://docs.claude.com/en/docs/claude-code/overview" TargetMode="External"/><Relationship Id="rId47" Type="http://schemas.openxmlformats.org/officeDocument/2006/relationships/hyperlink" Target="https://github.com/anthropics/skills" TargetMode="External"/><Relationship Id="rId63" Type="http://schemas.openxmlformats.org/officeDocument/2006/relationships/hyperlink" Target="https://playwright.dev/python/docs/trace-viewer" TargetMode="External"/><Relationship Id="rId68" Type="http://schemas.openxmlformats.org/officeDocument/2006/relationships/hyperlink" Target="https://www.deeplearning.ai/short-courses/" TargetMode="External"/><Relationship Id="rId16" Type="http://schemas.openxmlformats.org/officeDocument/2006/relationships/hyperlink" Target="https://developer.mozilla.org/en-US/docs/Web/HTTP" TargetMode="External"/><Relationship Id="rId11" Type="http://schemas.openxmlformats.org/officeDocument/2006/relationships/hyperlink" Target="https://sqlbolt.com/" TargetMode="External"/><Relationship Id="rId32" Type="http://schemas.openxmlformats.org/officeDocument/2006/relationships/hyperlink" Target="https://docs.github.com/en/actions/quickstart" TargetMode="External"/><Relationship Id="rId37" Type="http://schemas.openxmlformats.org/officeDocument/2006/relationships/hyperlink" Target="https://www.promptingguide.ai/" TargetMode="External"/><Relationship Id="rId53" Type="http://schemas.openxmlformats.org/officeDocument/2006/relationships/hyperlink" Target="https://github.com/microsoft/playwright-mcp" TargetMode="External"/><Relationship Id="rId58" Type="http://schemas.openxmlformats.org/officeDocument/2006/relationships/hyperlink" Target="https://developer.atlassian.com/cloud/confluence/rest/v2/intro/" TargetMode="External"/><Relationship Id="rId74" Type="http://schemas.openxmlformats.org/officeDocument/2006/relationships/hyperlink" Target="https://www.promptfoo.dev/docs/red-team/" TargetMode="External"/><Relationship Id="rId79" Type="http://schemas.openxmlformats.org/officeDocument/2006/relationships/hyperlink" Target="https://docs.pydantic.dev/latest/concepts/pydantic_settings/" TargetMode="External"/><Relationship Id="rId5" Type="http://schemas.openxmlformats.org/officeDocument/2006/relationships/hyperlink" Target="https://docs.python.org/3/tutorial/" TargetMode="External"/><Relationship Id="rId61" Type="http://schemas.openxmlformats.org/officeDocument/2006/relationships/hyperlink" Target="https://developer.atlassian.com/cloud/jira/platform/rest/v3/intro/" TargetMode="External"/><Relationship Id="rId82" Type="http://schemas.openxmlformats.org/officeDocument/2006/relationships/hyperlink" Target="https://shields.io/" TargetMode="External"/><Relationship Id="rId19" Type="http://schemas.openxmlformats.org/officeDocument/2006/relationships/hyperlink" Target="https://docs.pytest.org/" TargetMode="External"/><Relationship Id="rId14" Type="http://schemas.openxmlformats.org/officeDocument/2006/relationships/hyperlink" Target="https://sqlzoo.net/" TargetMode="External"/><Relationship Id="rId22" Type="http://schemas.openxmlformats.org/officeDocument/2006/relationships/hyperlink" Target="https://python-jsonschema.readthedocs.io/" TargetMode="External"/><Relationship Id="rId27" Type="http://schemas.openxmlformats.org/officeDocument/2006/relationships/hyperlink" Target="https://playwright.dev/python/docs/trace-viewer" TargetMode="External"/><Relationship Id="rId30" Type="http://schemas.openxmlformats.org/officeDocument/2006/relationships/hyperlink" Target="https://playwright.dev/python/docs/auth" TargetMode="External"/><Relationship Id="rId35" Type="http://schemas.openxmlformats.org/officeDocument/2006/relationships/hyperlink" Target="https://docs.claude.com/en/docs/build-with-claude/prompt-engineering/overview" TargetMode="External"/><Relationship Id="rId43" Type="http://schemas.openxmlformats.org/officeDocument/2006/relationships/hyperlink" Target="https://docs.claude.com/en/docs/claude-code/memory" TargetMode="External"/><Relationship Id="rId48" Type="http://schemas.openxmlformats.org/officeDocument/2006/relationships/hyperlink" Target="https://playwright.dev/docs/test-agents" TargetMode="External"/><Relationship Id="rId56" Type="http://schemas.openxmlformats.org/officeDocument/2006/relationships/hyperlink" Target="https://www.atlassian.com/platform/remote-mcp-server" TargetMode="External"/><Relationship Id="rId64" Type="http://schemas.openxmlformats.org/officeDocument/2006/relationships/hyperlink" Target="https://github.com/modelcontextprotocol/python-sdk" TargetMode="External"/><Relationship Id="rId69" Type="http://schemas.openxmlformats.org/officeDocument/2006/relationships/hyperlink" Target="https://owasp.org/www-project-top-10-for-large-language-model-applications/" TargetMode="External"/><Relationship Id="rId77" Type="http://schemas.openxmlformats.org/officeDocument/2006/relationships/hyperlink" Target="https://typer.tiangolo.com/" TargetMode="External"/><Relationship Id="rId8" Type="http://schemas.openxmlformats.org/officeDocument/2006/relationships/hyperlink" Target="https://docs.python.org/3/library/json.html" TargetMode="External"/><Relationship Id="rId51" Type="http://schemas.openxmlformats.org/officeDocument/2006/relationships/hyperlink" Target="https://www.mabl.com/" TargetMode="External"/><Relationship Id="rId72" Type="http://schemas.openxmlformats.org/officeDocument/2006/relationships/hyperlink" Target="https://docs.ragas.io/" TargetMode="External"/><Relationship Id="rId80" Type="http://schemas.openxmlformats.org/officeDocument/2006/relationships/hyperlink" Target="https://www.makeareadme.com/" TargetMode="External"/><Relationship Id="rId3" Type="http://schemas.openxmlformats.org/officeDocument/2006/relationships/hyperlink" Target="https://docs.github.com/en/get-started" TargetMode="External"/><Relationship Id="rId12" Type="http://schemas.openxmlformats.org/officeDocument/2006/relationships/hyperlink" Target="https://sqlite.org/lang.html" TargetMode="External"/><Relationship Id="rId17" Type="http://schemas.openxmlformats.org/officeDocument/2006/relationships/hyperlink" Target="https://restful-booker.herokuapp.com/apidoc/index.html" TargetMode="External"/><Relationship Id="rId25" Type="http://schemas.openxmlformats.org/officeDocument/2006/relationships/hyperlink" Target="https://playwright.dev/python/docs/intro" TargetMode="External"/><Relationship Id="rId33" Type="http://schemas.openxmlformats.org/officeDocument/2006/relationships/hyperlink" Target="https://playwright.dev/python/docs/ci-intro" TargetMode="External"/><Relationship Id="rId38" Type="http://schemas.openxmlformats.org/officeDocument/2006/relationships/hyperlink" Target="https://www.promptingguide.ai/" TargetMode="External"/><Relationship Id="rId46" Type="http://schemas.openxmlformats.org/officeDocument/2006/relationships/hyperlink" Target="https://docs.claude.com/en/docs/claude-code/skills" TargetMode="External"/><Relationship Id="rId59" Type="http://schemas.openxmlformats.org/officeDocument/2006/relationships/hyperlink" Target="https://atlassian-python-api.readthedocs.io/" TargetMode="External"/><Relationship Id="rId67" Type="http://schemas.openxmlformats.org/officeDocument/2006/relationships/hyperlink" Target="https://www.youtube.com/results?search_query=karpathy+intro+to+large+language+models" TargetMode="External"/><Relationship Id="rId20" Type="http://schemas.openxmlformats.org/officeDocument/2006/relationships/hyperlink" Target="https://realpython.com/pytest-python-testing/" TargetMode="External"/><Relationship Id="rId41" Type="http://schemas.openxmlformats.org/officeDocument/2006/relationships/hyperlink" Target="https://docs.github.com/en/copilot" TargetMode="External"/><Relationship Id="rId54" Type="http://schemas.openxmlformats.org/officeDocument/2006/relationships/hyperlink" Target="https://docs.claude.com/en/docs/claude-code/mcp" TargetMode="External"/><Relationship Id="rId62" Type="http://schemas.openxmlformats.org/officeDocument/2006/relationships/hyperlink" Target="https://docs.github.com/en/rest/issues" TargetMode="External"/><Relationship Id="rId70" Type="http://schemas.openxmlformats.org/officeDocument/2006/relationships/hyperlink" Target="https://www.promptfoo.dev/docs/intro" TargetMode="External"/><Relationship Id="rId75" Type="http://schemas.openxmlformats.org/officeDocument/2006/relationships/hyperlink" Target="https://atlas.mitre.org/" TargetMode="External"/><Relationship Id="rId83" Type="http://schemas.openxmlformats.org/officeDocument/2006/relationships/hyperlink" Target="https://mermaid.js.org/" TargetMode="External"/><Relationship Id="rId1" Type="http://schemas.openxmlformats.org/officeDocument/2006/relationships/hyperlink" Target="https://git-scm.com/book/en/v2" TargetMode="External"/><Relationship Id="rId6" Type="http://schemas.openxmlformats.org/officeDocument/2006/relationships/hyperlink" Target="https://realpython.com/" TargetMode="External"/><Relationship Id="rId15" Type="http://schemas.openxmlformats.org/officeDocument/2006/relationships/hyperlink" Target="https://learning.postman.com/" TargetMode="External"/><Relationship Id="rId23" Type="http://schemas.openxmlformats.org/officeDocument/2006/relationships/hyperlink" Target="https://allurereport.org/docs/" TargetMode="External"/><Relationship Id="rId28" Type="http://schemas.openxmlformats.org/officeDocument/2006/relationships/hyperlink" Target="https://playwright.dev/python/docs/codegen" TargetMode="External"/><Relationship Id="rId36" Type="http://schemas.openxmlformats.org/officeDocument/2006/relationships/hyperlink" Target="https://platform.openai.com/docs/guides/prompt-engineering" TargetMode="External"/><Relationship Id="rId49" Type="http://schemas.openxmlformats.org/officeDocument/2006/relationships/hyperlink" Target="https://healenium.io/" TargetMode="External"/><Relationship Id="rId57" Type="http://schemas.openxmlformats.org/officeDocument/2006/relationships/hyperlink" Target="https://docs.github.com/en/rest/pulls" TargetMode="External"/><Relationship Id="rId10" Type="http://schemas.openxmlformats.org/officeDocument/2006/relationships/hyperlink" Target="https://json-schema.org/learn" TargetMode="External"/><Relationship Id="rId31" Type="http://schemas.openxmlformats.org/officeDocument/2006/relationships/hyperlink" Target="https://playwright.dev/python/docs/api-testing" TargetMode="External"/><Relationship Id="rId44" Type="http://schemas.openxmlformats.org/officeDocument/2006/relationships/hyperlink" Target="https://docs.claude.com/en/docs/claude-code/sub-agents" TargetMode="External"/><Relationship Id="rId52" Type="http://schemas.openxmlformats.org/officeDocument/2006/relationships/hyperlink" Target="https://modelcontextprotocol.io/introduction" TargetMode="External"/><Relationship Id="rId60" Type="http://schemas.openxmlformats.org/officeDocument/2006/relationships/hyperlink" Target="https://id.atlassian.com/manage-profile/security/api-tokens" TargetMode="External"/><Relationship Id="rId65" Type="http://schemas.openxmlformats.org/officeDocument/2006/relationships/hyperlink" Target="https://modelcontextprotocol.io/introduction" TargetMode="External"/><Relationship Id="rId73" Type="http://schemas.openxmlformats.org/officeDocument/2006/relationships/hyperlink" Target="https://gandalf.lakera.ai/" TargetMode="External"/><Relationship Id="rId78" Type="http://schemas.openxmlformats.org/officeDocument/2006/relationships/hyperlink" Target="https://docs.docker.com/get-started/" TargetMode="External"/><Relationship Id="rId81" Type="http://schemas.openxmlformats.org/officeDocument/2006/relationships/hyperlink" Target="https://choosealicense.com/" TargetMode="External"/><Relationship Id="rId4" Type="http://schemas.openxmlformats.org/officeDocument/2006/relationships/hyperlink" Target="https://automatetheboringstuff.com/" TargetMode="External"/><Relationship Id="rId9" Type="http://schemas.openxmlformats.org/officeDocument/2006/relationships/hyperlink" Target="https://docs.pydantic.dev/" TargetMode="External"/><Relationship Id="rId13" Type="http://schemas.openxmlformats.org/officeDocument/2006/relationships/hyperlink" Target="https://github.com/lerocha/chinook-database" TargetMode="External"/><Relationship Id="rId18" Type="http://schemas.openxmlformats.org/officeDocument/2006/relationships/hyperlink" Target="https://requests.readthedocs.io/" TargetMode="External"/><Relationship Id="rId39" Type="http://schemas.openxmlformats.org/officeDocument/2006/relationships/hyperlink" Target="https://www.ministryoftesting.com/" TargetMode="External"/><Relationship Id="rId34" Type="http://schemas.openxmlformats.org/officeDocument/2006/relationships/hyperlink" Target="https://skills.github.com/" TargetMode="External"/><Relationship Id="rId50" Type="http://schemas.openxmlformats.org/officeDocument/2006/relationships/hyperlink" Target="https://applitools.com/" TargetMode="External"/><Relationship Id="rId55" Type="http://schemas.openxmlformats.org/officeDocument/2006/relationships/hyperlink" Target="https://github.com/github/github-mcp-server" TargetMode="External"/><Relationship Id="rId76" Type="http://schemas.openxmlformats.org/officeDocument/2006/relationships/hyperlink" Target="https://owasp.org/www-project-top-10-for-large-language-model-applications/" TargetMode="External"/><Relationship Id="rId7" Type="http://schemas.openxmlformats.org/officeDocument/2006/relationships/hyperlink" Target="https://docs.python.org/3/library/dataclasses.html" TargetMode="External"/><Relationship Id="rId71" Type="http://schemas.openxmlformats.org/officeDocument/2006/relationships/hyperlink" Target="https://deepeval.com/docs/getting-started" TargetMode="External"/><Relationship Id="rId2" Type="http://schemas.openxmlformats.org/officeDocument/2006/relationships/hyperlink" Target="https://skills.github.com/" TargetMode="External"/><Relationship Id="rId29" Type="http://schemas.openxmlformats.org/officeDocument/2006/relationships/hyperlink" Target="https://playwright.dev/python/docs/pom" TargetMode="External"/><Relationship Id="rId24" Type="http://schemas.openxmlformats.org/officeDocument/2006/relationships/hyperlink" Target="https://pytest-html.readthedocs.io/" TargetMode="External"/><Relationship Id="rId40" Type="http://schemas.openxmlformats.org/officeDocument/2006/relationships/hyperlink" Target="https://docs.claude.com/en/docs/build-with-claude/prompt-engineering/overview" TargetMode="External"/><Relationship Id="rId45" Type="http://schemas.openxmlformats.org/officeDocument/2006/relationships/hyperlink" Target="https://docs.claude.com/en/docs/claude-code/slash-commands" TargetMode="External"/><Relationship Id="rId66" Type="http://schemas.openxmlformats.org/officeDocument/2006/relationships/hyperlink" Target="https://github.com/modelcontextprotocol/server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liHassan-creator/ai-qa-journey/pull/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zoomScale="148" zoomScaleNormal="148" workbookViewId="0">
      <selection activeCell="N52" sqref="N52"/>
    </sheetView>
  </sheetViews>
  <sheetFormatPr defaultColWidth="8.7109375" defaultRowHeight="15" x14ac:dyDescent="0.25"/>
  <cols>
    <col min="1" max="1" width="32" customWidth="1"/>
    <col min="2" max="2" width="22" customWidth="1"/>
    <col min="3" max="3" width="95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  <c r="B4" s="4">
        <v>46300</v>
      </c>
      <c r="C4" s="2" t="s">
        <v>3</v>
      </c>
    </row>
    <row r="5" spans="1:3" x14ac:dyDescent="0.25">
      <c r="A5" s="3" t="s">
        <v>4</v>
      </c>
      <c r="B5" s="5">
        <v>3</v>
      </c>
      <c r="C5" s="2" t="s">
        <v>5</v>
      </c>
    </row>
    <row r="6" spans="1:3" x14ac:dyDescent="0.25">
      <c r="A6" s="3" t="s">
        <v>6</v>
      </c>
      <c r="B6" s="5" t="s">
        <v>7</v>
      </c>
      <c r="C6" s="2" t="s">
        <v>8</v>
      </c>
    </row>
    <row r="7" spans="1:3" x14ac:dyDescent="0.25">
      <c r="A7" s="3" t="s">
        <v>9</v>
      </c>
      <c r="B7" s="6">
        <f>WORKDAY(B4,24)</f>
        <v>46332</v>
      </c>
      <c r="C7" s="2" t="s">
        <v>10</v>
      </c>
    </row>
    <row r="8" spans="1:3" x14ac:dyDescent="0.25">
      <c r="A8" s="3" t="s">
        <v>11</v>
      </c>
      <c r="B8" s="7">
        <f>Dashboard!D10</f>
        <v>0.24</v>
      </c>
      <c r="C8" s="2" t="s">
        <v>12</v>
      </c>
    </row>
    <row r="10" spans="1:3" x14ac:dyDescent="0.25">
      <c r="A10" s="3" t="s">
        <v>13</v>
      </c>
    </row>
    <row r="11" spans="1:3" x14ac:dyDescent="0.25">
      <c r="A11" s="8" t="s">
        <v>14</v>
      </c>
    </row>
    <row r="13" spans="1:3" x14ac:dyDescent="0.25">
      <c r="A13" s="3" t="s">
        <v>15</v>
      </c>
    </row>
    <row r="14" spans="1:3" x14ac:dyDescent="0.25">
      <c r="A14" s="8" t="s">
        <v>16</v>
      </c>
    </row>
    <row r="15" spans="1:3" x14ac:dyDescent="0.25">
      <c r="A15" s="8" t="s">
        <v>17</v>
      </c>
    </row>
    <row r="16" spans="1:3" x14ac:dyDescent="0.25">
      <c r="A16" s="8" t="s">
        <v>18</v>
      </c>
    </row>
    <row r="17" spans="1:1" x14ac:dyDescent="0.25">
      <c r="A17" s="8" t="s">
        <v>19</v>
      </c>
    </row>
    <row r="18" spans="1:1" x14ac:dyDescent="0.25">
      <c r="A18" s="8" t="s">
        <v>20</v>
      </c>
    </row>
    <row r="19" spans="1:1" x14ac:dyDescent="0.25">
      <c r="A19" s="8" t="s">
        <v>21</v>
      </c>
    </row>
    <row r="21" spans="1:1" x14ac:dyDescent="0.25">
      <c r="A21" s="3" t="s">
        <v>22</v>
      </c>
    </row>
    <row r="22" spans="1:1" x14ac:dyDescent="0.25">
      <c r="A22" s="9" t="s">
        <v>23</v>
      </c>
    </row>
    <row r="23" spans="1:1" x14ac:dyDescent="0.25">
      <c r="A23" s="10" t="s">
        <v>24</v>
      </c>
    </row>
    <row r="24" spans="1:1" x14ac:dyDescent="0.25">
      <c r="A24" s="11" t="s">
        <v>25</v>
      </c>
    </row>
    <row r="25" spans="1:1" x14ac:dyDescent="0.25">
      <c r="A25" s="12" t="s">
        <v>26</v>
      </c>
    </row>
    <row r="26" spans="1:1" x14ac:dyDescent="0.25">
      <c r="A26" s="13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zoomScaleNormal="100" workbookViewId="0">
      <pane xSplit="4" ySplit="3" topLeftCell="E7" activePane="bottomRight" state="frozen"/>
      <selection pane="topRight" activeCell="E1" sqref="E1"/>
      <selection pane="bottomLeft" activeCell="A4" sqref="A4"/>
      <selection pane="bottomRight" activeCell="G5" sqref="G5"/>
    </sheetView>
  </sheetViews>
  <sheetFormatPr defaultColWidth="8.7109375" defaultRowHeight="15" x14ac:dyDescent="0.25"/>
  <cols>
    <col min="1" max="2" width="6" customWidth="1"/>
    <col min="3" max="3" width="12" customWidth="1"/>
    <col min="4" max="4" width="26" customWidth="1"/>
    <col min="5" max="5" width="34" customWidth="1"/>
    <col min="6" max="6" width="52" customWidth="1"/>
    <col min="7" max="7" width="60" customWidth="1"/>
    <col min="8" max="8" width="30" customWidth="1"/>
    <col min="9" max="9" width="34" customWidth="1"/>
    <col min="10" max="10" width="22" customWidth="1"/>
  </cols>
  <sheetData>
    <row r="1" spans="1:10" ht="18" x14ac:dyDescent="0.25">
      <c r="A1" s="1" t="s">
        <v>28</v>
      </c>
    </row>
    <row r="2" spans="1:10" x14ac:dyDescent="0.25">
      <c r="A2" s="2" t="s">
        <v>29</v>
      </c>
    </row>
    <row r="3" spans="1:10" ht="25.5" x14ac:dyDescent="0.25">
      <c r="A3" s="14" t="s">
        <v>30</v>
      </c>
      <c r="B3" s="14" t="s">
        <v>31</v>
      </c>
      <c r="C3" s="14" t="s">
        <v>32</v>
      </c>
      <c r="D3" s="14" t="s">
        <v>33</v>
      </c>
      <c r="E3" s="14" t="s">
        <v>34</v>
      </c>
      <c r="F3" s="14" t="s">
        <v>35</v>
      </c>
      <c r="G3" s="14" t="s">
        <v>36</v>
      </c>
      <c r="H3" s="14" t="s">
        <v>37</v>
      </c>
      <c r="I3" s="14" t="s">
        <v>38</v>
      </c>
      <c r="J3" s="14" t="s">
        <v>39</v>
      </c>
    </row>
    <row r="4" spans="1:10" ht="99.75" customHeight="1" x14ac:dyDescent="0.25">
      <c r="A4" s="15">
        <v>1</v>
      </c>
      <c r="B4" s="15">
        <v>1</v>
      </c>
      <c r="C4" s="16">
        <f>WORKDAY(Overview!$B$4,A4-1)</f>
        <v>46300</v>
      </c>
      <c r="D4" s="17" t="s">
        <v>40</v>
      </c>
      <c r="E4" s="18" t="s">
        <v>41</v>
      </c>
      <c r="F4" s="18" t="s">
        <v>42</v>
      </c>
      <c r="G4" s="18" t="s">
        <v>43</v>
      </c>
      <c r="H4" s="18" t="s">
        <v>44</v>
      </c>
      <c r="I4" s="18" t="s">
        <v>45</v>
      </c>
      <c r="J4" s="18" t="s">
        <v>46</v>
      </c>
    </row>
    <row r="5" spans="1:10" ht="102.75" customHeight="1" x14ac:dyDescent="0.25">
      <c r="A5" s="15">
        <v>2</v>
      </c>
      <c r="B5" s="15">
        <v>1</v>
      </c>
      <c r="C5" s="16">
        <f>WORKDAY(Overview!$B$4,A5-1)</f>
        <v>46301</v>
      </c>
      <c r="D5" s="17" t="s">
        <v>47</v>
      </c>
      <c r="E5" s="18" t="s">
        <v>48</v>
      </c>
      <c r="F5" s="18" t="s">
        <v>49</v>
      </c>
      <c r="G5" s="18" t="s">
        <v>50</v>
      </c>
      <c r="H5" s="18" t="s">
        <v>51</v>
      </c>
      <c r="I5" s="18" t="s">
        <v>52</v>
      </c>
      <c r="J5" s="18" t="s">
        <v>53</v>
      </c>
    </row>
    <row r="6" spans="1:10" ht="118.5" customHeight="1" x14ac:dyDescent="0.25">
      <c r="A6" s="15">
        <v>3</v>
      </c>
      <c r="B6" s="15">
        <v>1</v>
      </c>
      <c r="C6" s="16">
        <f>WORKDAY(Overview!$B$4,A6-1)</f>
        <v>46302</v>
      </c>
      <c r="D6" s="17" t="s">
        <v>54</v>
      </c>
      <c r="E6" s="18" t="s">
        <v>55</v>
      </c>
      <c r="F6" s="18" t="s">
        <v>56</v>
      </c>
      <c r="G6" s="18" t="s">
        <v>57</v>
      </c>
      <c r="H6" s="18" t="s">
        <v>58</v>
      </c>
      <c r="I6" s="18" t="s">
        <v>59</v>
      </c>
      <c r="J6" s="18" t="s">
        <v>60</v>
      </c>
    </row>
    <row r="7" spans="1:10" ht="120" customHeight="1" x14ac:dyDescent="0.25">
      <c r="A7" s="15">
        <v>4</v>
      </c>
      <c r="B7" s="15">
        <v>1</v>
      </c>
      <c r="C7" s="16">
        <f>WORKDAY(Overview!$B$4,A7-1)</f>
        <v>46303</v>
      </c>
      <c r="D7" s="17" t="s">
        <v>61</v>
      </c>
      <c r="E7" s="18" t="s">
        <v>62</v>
      </c>
      <c r="F7" s="18" t="s">
        <v>63</v>
      </c>
      <c r="G7" s="18" t="s">
        <v>64</v>
      </c>
      <c r="H7" s="18" t="s">
        <v>65</v>
      </c>
      <c r="I7" s="18" t="s">
        <v>66</v>
      </c>
      <c r="J7" s="18" t="s">
        <v>67</v>
      </c>
    </row>
    <row r="8" spans="1:10" ht="114.75" customHeight="1" x14ac:dyDescent="0.25">
      <c r="A8" s="15">
        <v>5</v>
      </c>
      <c r="B8" s="15">
        <v>1</v>
      </c>
      <c r="C8" s="16">
        <f>WORKDAY(Overview!$B$4,A8-1)</f>
        <v>46304</v>
      </c>
      <c r="D8" s="17" t="s">
        <v>68</v>
      </c>
      <c r="E8" s="18" t="s">
        <v>69</v>
      </c>
      <c r="F8" s="18" t="s">
        <v>70</v>
      </c>
      <c r="G8" s="18" t="s">
        <v>71</v>
      </c>
      <c r="H8" s="18" t="s">
        <v>72</v>
      </c>
      <c r="I8" s="18" t="s">
        <v>73</v>
      </c>
      <c r="J8" s="18" t="s">
        <v>74</v>
      </c>
    </row>
    <row r="9" spans="1:10" ht="91.5" customHeight="1" x14ac:dyDescent="0.25">
      <c r="A9" s="19">
        <v>6</v>
      </c>
      <c r="B9" s="19">
        <v>2</v>
      </c>
      <c r="C9" s="20">
        <f>WORKDAY(Overview!$B$4,A9-1)</f>
        <v>46307</v>
      </c>
      <c r="D9" s="21" t="s">
        <v>75</v>
      </c>
      <c r="E9" s="18" t="s">
        <v>76</v>
      </c>
      <c r="F9" s="18" t="s">
        <v>77</v>
      </c>
      <c r="G9" s="18" t="s">
        <v>78</v>
      </c>
      <c r="H9" s="18" t="s">
        <v>79</v>
      </c>
      <c r="I9" s="18" t="s">
        <v>80</v>
      </c>
      <c r="J9" s="18" t="s">
        <v>81</v>
      </c>
    </row>
    <row r="10" spans="1:10" ht="117.75" customHeight="1" x14ac:dyDescent="0.25">
      <c r="A10" s="19">
        <v>7</v>
      </c>
      <c r="B10" s="19">
        <v>2</v>
      </c>
      <c r="C10" s="20">
        <f>WORKDAY(Overview!$B$4,A10-1)</f>
        <v>46308</v>
      </c>
      <c r="D10" s="21" t="s">
        <v>82</v>
      </c>
      <c r="E10" s="18" t="s">
        <v>83</v>
      </c>
      <c r="F10" s="18" t="s">
        <v>84</v>
      </c>
      <c r="G10" s="18" t="s">
        <v>85</v>
      </c>
      <c r="H10" s="18" t="s">
        <v>86</v>
      </c>
      <c r="I10" s="18" t="s">
        <v>87</v>
      </c>
      <c r="J10" s="18" t="s">
        <v>88</v>
      </c>
    </row>
    <row r="11" spans="1:10" ht="126" customHeight="1" x14ac:dyDescent="0.25">
      <c r="A11" s="19">
        <v>8</v>
      </c>
      <c r="B11" s="19">
        <v>2</v>
      </c>
      <c r="C11" s="20">
        <f>WORKDAY(Overview!$B$4,A11-1)</f>
        <v>46309</v>
      </c>
      <c r="D11" s="21" t="s">
        <v>89</v>
      </c>
      <c r="E11" s="18" t="s">
        <v>90</v>
      </c>
      <c r="F11" s="18" t="s">
        <v>91</v>
      </c>
      <c r="G11" s="18" t="s">
        <v>92</v>
      </c>
      <c r="H11" s="18" t="s">
        <v>93</v>
      </c>
      <c r="I11" s="18" t="s">
        <v>94</v>
      </c>
      <c r="J11" s="18" t="s">
        <v>95</v>
      </c>
    </row>
    <row r="12" spans="1:10" ht="99.75" customHeight="1" x14ac:dyDescent="0.25">
      <c r="A12" s="19">
        <v>9</v>
      </c>
      <c r="B12" s="19">
        <v>2</v>
      </c>
      <c r="C12" s="20">
        <f>WORKDAY(Overview!$B$4,A12-1)</f>
        <v>46310</v>
      </c>
      <c r="D12" s="21" t="s">
        <v>96</v>
      </c>
      <c r="E12" s="18" t="s">
        <v>97</v>
      </c>
      <c r="F12" s="18" t="s">
        <v>98</v>
      </c>
      <c r="G12" s="18" t="s">
        <v>99</v>
      </c>
      <c r="H12" s="18" t="s">
        <v>100</v>
      </c>
      <c r="I12" s="18" t="s">
        <v>101</v>
      </c>
      <c r="J12" s="18" t="s">
        <v>102</v>
      </c>
    </row>
    <row r="13" spans="1:10" ht="99" customHeight="1" x14ac:dyDescent="0.25">
      <c r="A13" s="19">
        <v>10</v>
      </c>
      <c r="B13" s="19">
        <v>2</v>
      </c>
      <c r="C13" s="20">
        <f>WORKDAY(Overview!$B$4,A13-1)</f>
        <v>46311</v>
      </c>
      <c r="D13" s="21" t="s">
        <v>103</v>
      </c>
      <c r="E13" s="18" t="s">
        <v>104</v>
      </c>
      <c r="F13" s="18" t="s">
        <v>105</v>
      </c>
      <c r="G13" s="18" t="s">
        <v>106</v>
      </c>
      <c r="H13" s="18" t="s">
        <v>107</v>
      </c>
      <c r="I13" s="18" t="s">
        <v>108</v>
      </c>
      <c r="J13" s="18" t="s">
        <v>109</v>
      </c>
    </row>
    <row r="14" spans="1:10" ht="113.25" customHeight="1" x14ac:dyDescent="0.25">
      <c r="A14" s="22">
        <v>11</v>
      </c>
      <c r="B14" s="22">
        <v>3</v>
      </c>
      <c r="C14" s="23">
        <f>WORKDAY(Overview!$B$4,A14-1)</f>
        <v>46314</v>
      </c>
      <c r="D14" s="24" t="s">
        <v>110</v>
      </c>
      <c r="E14" s="18" t="s">
        <v>111</v>
      </c>
      <c r="F14" s="18" t="s">
        <v>112</v>
      </c>
      <c r="G14" s="18" t="s">
        <v>113</v>
      </c>
      <c r="H14" s="18" t="s">
        <v>114</v>
      </c>
      <c r="I14" s="18" t="s">
        <v>115</v>
      </c>
      <c r="J14" s="18" t="s">
        <v>116</v>
      </c>
    </row>
    <row r="15" spans="1:10" ht="132" customHeight="1" x14ac:dyDescent="0.25">
      <c r="A15" s="22">
        <v>12</v>
      </c>
      <c r="B15" s="22">
        <v>3</v>
      </c>
      <c r="C15" s="23">
        <f>WORKDAY(Overview!$B$4,A15-1)</f>
        <v>46315</v>
      </c>
      <c r="D15" s="24" t="s">
        <v>117</v>
      </c>
      <c r="E15" s="18" t="s">
        <v>118</v>
      </c>
      <c r="F15" s="18" t="s">
        <v>119</v>
      </c>
      <c r="G15" s="18" t="s">
        <v>120</v>
      </c>
      <c r="H15" s="18" t="s">
        <v>121</v>
      </c>
      <c r="I15" s="18" t="s">
        <v>122</v>
      </c>
      <c r="J15" s="18" t="s">
        <v>123</v>
      </c>
    </row>
    <row r="16" spans="1:10" ht="113.25" customHeight="1" x14ac:dyDescent="0.25">
      <c r="A16" s="22">
        <v>13</v>
      </c>
      <c r="B16" s="22">
        <v>3</v>
      </c>
      <c r="C16" s="23">
        <f>WORKDAY(Overview!$B$4,A16-1)</f>
        <v>46316</v>
      </c>
      <c r="D16" s="24" t="s">
        <v>124</v>
      </c>
      <c r="E16" s="18" t="s">
        <v>125</v>
      </c>
      <c r="F16" s="18" t="s">
        <v>126</v>
      </c>
      <c r="G16" s="18" t="s">
        <v>127</v>
      </c>
      <c r="H16" s="18" t="s">
        <v>128</v>
      </c>
      <c r="I16" s="18" t="s">
        <v>129</v>
      </c>
      <c r="J16" s="18" t="s">
        <v>130</v>
      </c>
    </row>
    <row r="17" spans="1:10" ht="146.25" customHeight="1" x14ac:dyDescent="0.25">
      <c r="A17" s="22">
        <v>14</v>
      </c>
      <c r="B17" s="22">
        <v>3</v>
      </c>
      <c r="C17" s="23">
        <f>WORKDAY(Overview!$B$4,A17-1)</f>
        <v>46317</v>
      </c>
      <c r="D17" s="24" t="s">
        <v>131</v>
      </c>
      <c r="E17" s="18" t="s">
        <v>132</v>
      </c>
      <c r="F17" s="18" t="s">
        <v>133</v>
      </c>
      <c r="G17" s="18" t="s">
        <v>134</v>
      </c>
      <c r="H17" s="18" t="s">
        <v>135</v>
      </c>
      <c r="I17" s="18" t="s">
        <v>136</v>
      </c>
      <c r="J17" s="18" t="s">
        <v>137</v>
      </c>
    </row>
    <row r="18" spans="1:10" ht="129" customHeight="1" x14ac:dyDescent="0.25">
      <c r="A18" s="22">
        <v>15</v>
      </c>
      <c r="B18" s="22">
        <v>3</v>
      </c>
      <c r="C18" s="23">
        <f>WORKDAY(Overview!$B$4,A18-1)</f>
        <v>46318</v>
      </c>
      <c r="D18" s="24" t="s">
        <v>138</v>
      </c>
      <c r="E18" s="18" t="s">
        <v>139</v>
      </c>
      <c r="F18" s="18" t="s">
        <v>140</v>
      </c>
      <c r="G18" s="18" t="s">
        <v>141</v>
      </c>
      <c r="H18" s="18" t="s">
        <v>142</v>
      </c>
      <c r="I18" s="18" t="s">
        <v>143</v>
      </c>
      <c r="J18" s="18" t="s">
        <v>144</v>
      </c>
    </row>
    <row r="19" spans="1:10" ht="102" customHeight="1" x14ac:dyDescent="0.25">
      <c r="A19" s="25">
        <v>16</v>
      </c>
      <c r="B19" s="25">
        <v>4</v>
      </c>
      <c r="C19" s="26">
        <f>WORKDAY(Overview!$B$4,A19-1)</f>
        <v>46321</v>
      </c>
      <c r="D19" s="27" t="s">
        <v>145</v>
      </c>
      <c r="E19" s="18" t="s">
        <v>146</v>
      </c>
      <c r="F19" s="18" t="s">
        <v>147</v>
      </c>
      <c r="G19" s="18" t="s">
        <v>148</v>
      </c>
      <c r="H19" s="18" t="s">
        <v>149</v>
      </c>
      <c r="I19" s="18" t="s">
        <v>150</v>
      </c>
      <c r="J19" s="18" t="s">
        <v>151</v>
      </c>
    </row>
    <row r="20" spans="1:10" ht="108.75" customHeight="1" x14ac:dyDescent="0.25">
      <c r="A20" s="25">
        <v>17</v>
      </c>
      <c r="B20" s="25">
        <v>4</v>
      </c>
      <c r="C20" s="26">
        <f>WORKDAY(Overview!$B$4,A20-1)</f>
        <v>46322</v>
      </c>
      <c r="D20" s="27" t="s">
        <v>152</v>
      </c>
      <c r="E20" s="18" t="s">
        <v>153</v>
      </c>
      <c r="F20" s="18" t="s">
        <v>154</v>
      </c>
      <c r="G20" s="18" t="s">
        <v>155</v>
      </c>
      <c r="H20" s="18" t="s">
        <v>156</v>
      </c>
      <c r="I20" s="18" t="s">
        <v>157</v>
      </c>
      <c r="J20" s="18" t="s">
        <v>158</v>
      </c>
    </row>
    <row r="21" spans="1:10" ht="116.25" customHeight="1" x14ac:dyDescent="0.25">
      <c r="A21" s="25">
        <v>18</v>
      </c>
      <c r="B21" s="25">
        <v>4</v>
      </c>
      <c r="C21" s="26">
        <f>WORKDAY(Overview!$B$4,A21-1)</f>
        <v>46323</v>
      </c>
      <c r="D21" s="27" t="s">
        <v>159</v>
      </c>
      <c r="E21" s="18" t="s">
        <v>160</v>
      </c>
      <c r="F21" s="18" t="s">
        <v>161</v>
      </c>
      <c r="G21" s="18" t="s">
        <v>162</v>
      </c>
      <c r="H21" s="18" t="s">
        <v>163</v>
      </c>
      <c r="I21" s="18" t="s">
        <v>164</v>
      </c>
      <c r="J21" s="18" t="s">
        <v>165</v>
      </c>
    </row>
    <row r="22" spans="1:10" ht="116.25" customHeight="1" x14ac:dyDescent="0.25">
      <c r="A22" s="25">
        <v>19</v>
      </c>
      <c r="B22" s="25">
        <v>4</v>
      </c>
      <c r="C22" s="26">
        <f>WORKDAY(Overview!$B$4,A22-1)</f>
        <v>46324</v>
      </c>
      <c r="D22" s="27" t="s">
        <v>166</v>
      </c>
      <c r="E22" s="18" t="s">
        <v>167</v>
      </c>
      <c r="F22" s="18" t="s">
        <v>168</v>
      </c>
      <c r="G22" s="18" t="s">
        <v>169</v>
      </c>
      <c r="H22" s="18" t="s">
        <v>170</v>
      </c>
      <c r="I22" s="18" t="s">
        <v>171</v>
      </c>
      <c r="J22" s="18" t="s">
        <v>172</v>
      </c>
    </row>
    <row r="23" spans="1:10" ht="106.5" customHeight="1" x14ac:dyDescent="0.25">
      <c r="A23" s="25">
        <v>20</v>
      </c>
      <c r="B23" s="25">
        <v>4</v>
      </c>
      <c r="C23" s="26">
        <f>WORKDAY(Overview!$B$4,A23-1)</f>
        <v>46325</v>
      </c>
      <c r="D23" s="27" t="s">
        <v>173</v>
      </c>
      <c r="E23" s="18" t="s">
        <v>174</v>
      </c>
      <c r="F23" s="18" t="s">
        <v>175</v>
      </c>
      <c r="G23" s="18" t="s">
        <v>176</v>
      </c>
      <c r="H23" s="18" t="s">
        <v>177</v>
      </c>
      <c r="I23" s="18" t="s">
        <v>178</v>
      </c>
      <c r="J23" s="18" t="s">
        <v>179</v>
      </c>
    </row>
    <row r="24" spans="1:10" ht="153" customHeight="1" x14ac:dyDescent="0.25">
      <c r="A24" s="28">
        <v>21</v>
      </c>
      <c r="B24" s="28">
        <v>5</v>
      </c>
      <c r="C24" s="29">
        <f>WORKDAY(Overview!$B$4,A24-1)</f>
        <v>46328</v>
      </c>
      <c r="D24" s="30" t="s">
        <v>180</v>
      </c>
      <c r="E24" s="18" t="s">
        <v>181</v>
      </c>
      <c r="F24" s="18" t="s">
        <v>182</v>
      </c>
      <c r="G24" s="18" t="s">
        <v>183</v>
      </c>
      <c r="H24" s="18" t="s">
        <v>184</v>
      </c>
      <c r="I24" s="18" t="s">
        <v>185</v>
      </c>
      <c r="J24" s="18" t="s">
        <v>186</v>
      </c>
    </row>
    <row r="25" spans="1:10" ht="97.5" customHeight="1" x14ac:dyDescent="0.25">
      <c r="A25" s="28">
        <v>22</v>
      </c>
      <c r="B25" s="28">
        <v>5</v>
      </c>
      <c r="C25" s="29">
        <f>WORKDAY(Overview!$B$4,A25-1)</f>
        <v>46329</v>
      </c>
      <c r="D25" s="30" t="s">
        <v>187</v>
      </c>
      <c r="E25" s="18" t="s">
        <v>188</v>
      </c>
      <c r="F25" s="18" t="s">
        <v>189</v>
      </c>
      <c r="G25" s="18" t="s">
        <v>190</v>
      </c>
      <c r="H25" s="18" t="s">
        <v>191</v>
      </c>
      <c r="I25" s="18" t="s">
        <v>192</v>
      </c>
      <c r="J25" s="18" t="s">
        <v>193</v>
      </c>
    </row>
    <row r="26" spans="1:10" ht="137.25" customHeight="1" x14ac:dyDescent="0.25">
      <c r="A26" s="28">
        <v>23</v>
      </c>
      <c r="B26" s="28">
        <v>5</v>
      </c>
      <c r="C26" s="29">
        <f>WORKDAY(Overview!$B$4,A26-1)</f>
        <v>46330</v>
      </c>
      <c r="D26" s="30" t="s">
        <v>194</v>
      </c>
      <c r="E26" s="18" t="s">
        <v>195</v>
      </c>
      <c r="F26" s="18" t="s">
        <v>196</v>
      </c>
      <c r="G26" s="18" t="s">
        <v>197</v>
      </c>
      <c r="H26" s="18" t="s">
        <v>198</v>
      </c>
      <c r="I26" s="18" t="s">
        <v>199</v>
      </c>
      <c r="J26" s="18" t="s">
        <v>200</v>
      </c>
    </row>
    <row r="27" spans="1:10" ht="96.75" customHeight="1" x14ac:dyDescent="0.25">
      <c r="A27" s="28">
        <v>24</v>
      </c>
      <c r="B27" s="28">
        <v>5</v>
      </c>
      <c r="C27" s="29">
        <f>WORKDAY(Overview!$B$4,A27-1)</f>
        <v>46331</v>
      </c>
      <c r="D27" s="30" t="s">
        <v>201</v>
      </c>
      <c r="E27" s="18" t="s">
        <v>202</v>
      </c>
      <c r="F27" s="18" t="s">
        <v>203</v>
      </c>
      <c r="G27" s="18" t="s">
        <v>204</v>
      </c>
      <c r="H27" s="18" t="s">
        <v>205</v>
      </c>
      <c r="I27" s="18" t="s">
        <v>206</v>
      </c>
      <c r="J27" s="18" t="s">
        <v>207</v>
      </c>
    </row>
    <row r="28" spans="1:10" ht="105" customHeight="1" x14ac:dyDescent="0.25">
      <c r="A28" s="28">
        <v>25</v>
      </c>
      <c r="B28" s="28">
        <v>5</v>
      </c>
      <c r="C28" s="29">
        <f>WORKDAY(Overview!$B$4,A28-1)</f>
        <v>46332</v>
      </c>
      <c r="D28" s="30" t="s">
        <v>208</v>
      </c>
      <c r="E28" s="18" t="s">
        <v>209</v>
      </c>
      <c r="F28" s="18" t="s">
        <v>210</v>
      </c>
      <c r="G28" s="18" t="s">
        <v>211</v>
      </c>
      <c r="H28" s="18" t="s">
        <v>212</v>
      </c>
      <c r="I28" s="18" t="s">
        <v>213</v>
      </c>
      <c r="J28" s="18" t="s">
        <v>214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6"/>
  <sheetViews>
    <sheetView zoomScale="138" zoomScaleNormal="138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8.7109375" defaultRowHeight="15" x14ac:dyDescent="0.25"/>
  <cols>
    <col min="1" max="2" width="6" customWidth="1"/>
    <col min="3" max="3" width="34" customWidth="1"/>
    <col min="4" max="4" width="60" customWidth="1"/>
    <col min="5" max="5" width="13" customWidth="1"/>
    <col min="6" max="6" width="9" customWidth="1"/>
    <col min="7" max="7" width="80" customWidth="1"/>
  </cols>
  <sheetData>
    <row r="1" spans="1:7" ht="18" x14ac:dyDescent="0.25">
      <c r="A1" s="1" t="s">
        <v>215</v>
      </c>
    </row>
    <row r="2" spans="1:7" x14ac:dyDescent="0.25">
      <c r="A2" s="2" t="s">
        <v>216</v>
      </c>
    </row>
    <row r="3" spans="1:7" ht="25.5" x14ac:dyDescent="0.25">
      <c r="A3" s="14" t="s">
        <v>30</v>
      </c>
      <c r="B3" s="14" t="s">
        <v>31</v>
      </c>
      <c r="C3" s="14" t="s">
        <v>33</v>
      </c>
      <c r="D3" s="14" t="s">
        <v>217</v>
      </c>
      <c r="E3" s="14" t="s">
        <v>218</v>
      </c>
      <c r="F3" s="14" t="s">
        <v>219</v>
      </c>
      <c r="G3" s="14" t="s">
        <v>220</v>
      </c>
    </row>
    <row r="4" spans="1:7" x14ac:dyDescent="0.25">
      <c r="A4" s="15">
        <v>1</v>
      </c>
      <c r="B4" s="15">
        <v>1</v>
      </c>
      <c r="C4" s="31" t="str">
        <f>'5-Week Plan'!D4</f>
        <v>Dev setup + Git &amp; GitHub</v>
      </c>
      <c r="D4" s="32" t="s">
        <v>221</v>
      </c>
      <c r="E4" s="18" t="s">
        <v>222</v>
      </c>
      <c r="F4" s="18">
        <v>60</v>
      </c>
      <c r="G4" s="33" t="s">
        <v>223</v>
      </c>
    </row>
    <row r="5" spans="1:7" x14ac:dyDescent="0.25">
      <c r="A5" s="15">
        <v>1</v>
      </c>
      <c r="B5" s="15">
        <v>1</v>
      </c>
      <c r="C5" s="31" t="str">
        <f>'5-Week Plan'!D4</f>
        <v>Dev setup + Git &amp; GitHub</v>
      </c>
      <c r="D5" s="18" t="s">
        <v>224</v>
      </c>
      <c r="E5" s="18" t="s">
        <v>225</v>
      </c>
      <c r="F5" s="18">
        <v>30</v>
      </c>
      <c r="G5" s="33" t="s">
        <v>226</v>
      </c>
    </row>
    <row r="6" spans="1:7" x14ac:dyDescent="0.25">
      <c r="A6" s="15">
        <v>1</v>
      </c>
      <c r="B6" s="15">
        <v>1</v>
      </c>
      <c r="C6" s="31" t="str">
        <f>'5-Week Plan'!D4</f>
        <v>Dev setup + Git &amp; GitHub</v>
      </c>
      <c r="D6" s="18" t="s">
        <v>227</v>
      </c>
      <c r="E6" s="18" t="s">
        <v>228</v>
      </c>
      <c r="F6" s="18">
        <v>20</v>
      </c>
      <c r="G6" s="33" t="s">
        <v>229</v>
      </c>
    </row>
    <row r="7" spans="1:7" x14ac:dyDescent="0.25">
      <c r="A7" s="15">
        <v>2</v>
      </c>
      <c r="B7" s="15">
        <v>1</v>
      </c>
      <c r="C7" s="31" t="str">
        <f>'5-Week Plan'!D5</f>
        <v>Python core for testers</v>
      </c>
      <c r="D7" s="32" t="s">
        <v>230</v>
      </c>
      <c r="E7" s="18" t="s">
        <v>231</v>
      </c>
      <c r="F7" s="18">
        <v>90</v>
      </c>
      <c r="G7" s="33" t="s">
        <v>232</v>
      </c>
    </row>
    <row r="8" spans="1:7" x14ac:dyDescent="0.25">
      <c r="A8" s="15">
        <v>2</v>
      </c>
      <c r="B8" s="15">
        <v>1</v>
      </c>
      <c r="C8" s="31" t="str">
        <f>'5-Week Plan'!D5</f>
        <v>Python core for testers</v>
      </c>
      <c r="D8" s="18" t="s">
        <v>233</v>
      </c>
      <c r="E8" s="18" t="s">
        <v>228</v>
      </c>
      <c r="F8" s="18">
        <v>45</v>
      </c>
      <c r="G8" s="33" t="s">
        <v>234</v>
      </c>
    </row>
    <row r="9" spans="1:7" x14ac:dyDescent="0.25">
      <c r="A9" s="15">
        <v>2</v>
      </c>
      <c r="B9" s="15">
        <v>1</v>
      </c>
      <c r="C9" s="31" t="str">
        <f>'5-Week Plan'!D5</f>
        <v>Python core for testers</v>
      </c>
      <c r="D9" s="18" t="s">
        <v>235</v>
      </c>
      <c r="E9" s="18" t="s">
        <v>236</v>
      </c>
      <c r="F9" s="18">
        <v>30</v>
      </c>
      <c r="G9" s="33" t="s">
        <v>237</v>
      </c>
    </row>
    <row r="10" spans="1:7" x14ac:dyDescent="0.25">
      <c r="A10" s="15">
        <v>3</v>
      </c>
      <c r="B10" s="15">
        <v>1</v>
      </c>
      <c r="C10" s="31" t="str">
        <f>'5-Week Plan'!D6</f>
        <v>Python OOP, files, JSON/CSV</v>
      </c>
      <c r="D10" s="32" t="s">
        <v>238</v>
      </c>
      <c r="E10" s="18" t="s">
        <v>228</v>
      </c>
      <c r="F10" s="18">
        <v>30</v>
      </c>
      <c r="G10" s="33" t="s">
        <v>239</v>
      </c>
    </row>
    <row r="11" spans="1:7" x14ac:dyDescent="0.25">
      <c r="A11" s="15">
        <v>3</v>
      </c>
      <c r="B11" s="15">
        <v>1</v>
      </c>
      <c r="C11" s="31" t="str">
        <f>'5-Week Plan'!D6</f>
        <v>Python OOP, files, JSON/CSV</v>
      </c>
      <c r="D11" s="18" t="s">
        <v>240</v>
      </c>
      <c r="E11" s="18" t="s">
        <v>228</v>
      </c>
      <c r="F11" s="18">
        <v>30</v>
      </c>
      <c r="G11" s="33" t="s">
        <v>241</v>
      </c>
    </row>
    <row r="12" spans="1:7" x14ac:dyDescent="0.25">
      <c r="A12" s="15">
        <v>3</v>
      </c>
      <c r="B12" s="15">
        <v>1</v>
      </c>
      <c r="C12" s="31" t="str">
        <f>'5-Week Plan'!D6</f>
        <v>Python OOP, files, JSON/CSV</v>
      </c>
      <c r="D12" s="18" t="s">
        <v>242</v>
      </c>
      <c r="E12" s="18" t="s">
        <v>228</v>
      </c>
      <c r="F12" s="18">
        <v>30</v>
      </c>
      <c r="G12" s="33" t="s">
        <v>243</v>
      </c>
    </row>
    <row r="13" spans="1:7" x14ac:dyDescent="0.25">
      <c r="A13" s="15">
        <v>3</v>
      </c>
      <c r="B13" s="15">
        <v>1</v>
      </c>
      <c r="C13" s="31" t="str">
        <f>'5-Week Plan'!D6</f>
        <v>Python OOP, files, JSON/CSV</v>
      </c>
      <c r="D13" s="18" t="s">
        <v>244</v>
      </c>
      <c r="E13" s="18" t="s">
        <v>228</v>
      </c>
      <c r="F13" s="18">
        <v>30</v>
      </c>
      <c r="G13" s="33" t="s">
        <v>245</v>
      </c>
    </row>
    <row r="14" spans="1:7" x14ac:dyDescent="0.25">
      <c r="A14" s="15">
        <v>4</v>
      </c>
      <c r="B14" s="15">
        <v>1</v>
      </c>
      <c r="C14" s="31" t="str">
        <f>'5-Week Plan'!D7</f>
        <v>SQL for testers</v>
      </c>
      <c r="D14" s="32" t="s">
        <v>246</v>
      </c>
      <c r="E14" s="18" t="s">
        <v>225</v>
      </c>
      <c r="F14" s="18">
        <v>90</v>
      </c>
      <c r="G14" s="33" t="s">
        <v>247</v>
      </c>
    </row>
    <row r="15" spans="1:7" x14ac:dyDescent="0.25">
      <c r="A15" s="15">
        <v>4</v>
      </c>
      <c r="B15" s="15">
        <v>1</v>
      </c>
      <c r="C15" s="31" t="str">
        <f>'5-Week Plan'!D7</f>
        <v>SQL for testers</v>
      </c>
      <c r="D15" s="18" t="s">
        <v>248</v>
      </c>
      <c r="E15" s="18" t="s">
        <v>228</v>
      </c>
      <c r="F15" s="18">
        <v>20</v>
      </c>
      <c r="G15" s="33" t="s">
        <v>249</v>
      </c>
    </row>
    <row r="16" spans="1:7" x14ac:dyDescent="0.25">
      <c r="A16" s="15">
        <v>4</v>
      </c>
      <c r="B16" s="15">
        <v>1</v>
      </c>
      <c r="C16" s="31" t="str">
        <f>'5-Week Plan'!D7</f>
        <v>SQL for testers</v>
      </c>
      <c r="D16" s="18" t="s">
        <v>250</v>
      </c>
      <c r="E16" s="18" t="s">
        <v>251</v>
      </c>
      <c r="F16" s="18">
        <v>15</v>
      </c>
      <c r="G16" s="33" t="s">
        <v>252</v>
      </c>
    </row>
    <row r="17" spans="1:7" x14ac:dyDescent="0.25">
      <c r="A17" s="15">
        <v>4</v>
      </c>
      <c r="B17" s="15">
        <v>1</v>
      </c>
      <c r="C17" s="31" t="str">
        <f>'5-Week Plan'!D7</f>
        <v>SQL for testers</v>
      </c>
      <c r="D17" s="18" t="s">
        <v>253</v>
      </c>
      <c r="E17" s="18" t="s">
        <v>225</v>
      </c>
      <c r="F17" s="18">
        <v>45</v>
      </c>
      <c r="G17" s="33" t="s">
        <v>254</v>
      </c>
    </row>
    <row r="18" spans="1:7" x14ac:dyDescent="0.25">
      <c r="A18" s="15">
        <v>5</v>
      </c>
      <c r="B18" s="15">
        <v>1</v>
      </c>
      <c r="C18" s="31" t="str">
        <f>'5-Week Plan'!D8</f>
        <v>HTTP/REST + Postman</v>
      </c>
      <c r="D18" s="32" t="s">
        <v>255</v>
      </c>
      <c r="E18" s="18" t="s">
        <v>256</v>
      </c>
      <c r="F18" s="18">
        <v>60</v>
      </c>
      <c r="G18" s="33" t="s">
        <v>257</v>
      </c>
    </row>
    <row r="19" spans="1:7" x14ac:dyDescent="0.25">
      <c r="A19" s="15">
        <v>5</v>
      </c>
      <c r="B19" s="15">
        <v>1</v>
      </c>
      <c r="C19" s="31" t="str">
        <f>'5-Week Plan'!D8</f>
        <v>HTTP/REST + Postman</v>
      </c>
      <c r="D19" s="18" t="s">
        <v>258</v>
      </c>
      <c r="E19" s="18" t="s">
        <v>228</v>
      </c>
      <c r="F19" s="18">
        <v>45</v>
      </c>
      <c r="G19" s="33" t="s">
        <v>259</v>
      </c>
    </row>
    <row r="20" spans="1:7" x14ac:dyDescent="0.25">
      <c r="A20" s="15">
        <v>5</v>
      </c>
      <c r="B20" s="15">
        <v>1</v>
      </c>
      <c r="C20" s="31" t="str">
        <f>'5-Week Plan'!D8</f>
        <v>HTTP/REST + Postman</v>
      </c>
      <c r="D20" s="18" t="s">
        <v>260</v>
      </c>
      <c r="E20" s="18" t="s">
        <v>261</v>
      </c>
      <c r="F20" s="18">
        <v>15</v>
      </c>
      <c r="G20" s="33" t="s">
        <v>262</v>
      </c>
    </row>
    <row r="21" spans="1:7" ht="25.5" x14ac:dyDescent="0.25">
      <c r="A21" s="19">
        <v>6</v>
      </c>
      <c r="B21" s="19">
        <v>2</v>
      </c>
      <c r="C21" s="34" t="str">
        <f>'5-Week Plan'!D9</f>
        <v>API automation: Python requests + pytest</v>
      </c>
      <c r="D21" s="32" t="s">
        <v>263</v>
      </c>
      <c r="E21" s="18" t="s">
        <v>228</v>
      </c>
      <c r="F21" s="18">
        <v>30</v>
      </c>
      <c r="G21" s="33" t="s">
        <v>264</v>
      </c>
    </row>
    <row r="22" spans="1:7" ht="25.5" x14ac:dyDescent="0.25">
      <c r="A22" s="19">
        <v>6</v>
      </c>
      <c r="B22" s="19">
        <v>2</v>
      </c>
      <c r="C22" s="34" t="str">
        <f>'5-Week Plan'!D9</f>
        <v>API automation: Python requests + pytest</v>
      </c>
      <c r="D22" s="18" t="s">
        <v>265</v>
      </c>
      <c r="E22" s="18" t="s">
        <v>228</v>
      </c>
      <c r="F22" s="18">
        <v>60</v>
      </c>
      <c r="G22" s="33" t="s">
        <v>266</v>
      </c>
    </row>
    <row r="23" spans="1:7" ht="25.5" x14ac:dyDescent="0.25">
      <c r="A23" s="19">
        <v>6</v>
      </c>
      <c r="B23" s="19">
        <v>2</v>
      </c>
      <c r="C23" s="34" t="str">
        <f>'5-Week Plan'!D9</f>
        <v>API automation: Python requests + pytest</v>
      </c>
      <c r="D23" s="18" t="s">
        <v>267</v>
      </c>
      <c r="E23" s="18" t="s">
        <v>268</v>
      </c>
      <c r="F23" s="18">
        <v>30</v>
      </c>
      <c r="G23" s="33" t="s">
        <v>269</v>
      </c>
    </row>
    <row r="24" spans="1:7" x14ac:dyDescent="0.25">
      <c r="A24" s="19">
        <v>7</v>
      </c>
      <c r="B24" s="19">
        <v>2</v>
      </c>
      <c r="C24" s="34" t="str">
        <f>'5-Week Plan'!D10</f>
        <v>pytest advanced + data-driven</v>
      </c>
      <c r="D24" s="32" t="s">
        <v>270</v>
      </c>
      <c r="E24" s="18" t="s">
        <v>228</v>
      </c>
      <c r="F24" s="18">
        <v>30</v>
      </c>
      <c r="G24" s="33" t="s">
        <v>271</v>
      </c>
    </row>
    <row r="25" spans="1:7" x14ac:dyDescent="0.25">
      <c r="A25" s="19">
        <v>7</v>
      </c>
      <c r="B25" s="19">
        <v>2</v>
      </c>
      <c r="C25" s="34" t="str">
        <f>'5-Week Plan'!D10</f>
        <v>pytest advanced + data-driven</v>
      </c>
      <c r="D25" s="18" t="s">
        <v>272</v>
      </c>
      <c r="E25" s="18" t="s">
        <v>228</v>
      </c>
      <c r="F25" s="18">
        <v>20</v>
      </c>
      <c r="G25" s="33" t="s">
        <v>273</v>
      </c>
    </row>
    <row r="26" spans="1:7" x14ac:dyDescent="0.25">
      <c r="A26" s="19">
        <v>7</v>
      </c>
      <c r="B26" s="19">
        <v>2</v>
      </c>
      <c r="C26" s="34" t="str">
        <f>'5-Week Plan'!D10</f>
        <v>pytest advanced + data-driven</v>
      </c>
      <c r="D26" s="18" t="s">
        <v>274</v>
      </c>
      <c r="E26" s="18" t="s">
        <v>228</v>
      </c>
      <c r="F26" s="18">
        <v>30</v>
      </c>
      <c r="G26" s="33" t="s">
        <v>275</v>
      </c>
    </row>
    <row r="27" spans="1:7" x14ac:dyDescent="0.25">
      <c r="A27" s="19">
        <v>7</v>
      </c>
      <c r="B27" s="19">
        <v>2</v>
      </c>
      <c r="C27" s="34" t="str">
        <f>'5-Week Plan'!D10</f>
        <v>pytest advanced + data-driven</v>
      </c>
      <c r="D27" s="18" t="s">
        <v>276</v>
      </c>
      <c r="E27" s="18" t="s">
        <v>228</v>
      </c>
      <c r="F27" s="18">
        <v>15</v>
      </c>
      <c r="G27" s="33" t="s">
        <v>277</v>
      </c>
    </row>
    <row r="28" spans="1:7" x14ac:dyDescent="0.25">
      <c r="A28" s="19">
        <v>8</v>
      </c>
      <c r="B28" s="19">
        <v>2</v>
      </c>
      <c r="C28" s="34" t="str">
        <f>'5-Week Plan'!D11</f>
        <v>Playwright basics</v>
      </c>
      <c r="D28" s="32" t="s">
        <v>278</v>
      </c>
      <c r="E28" s="18" t="s">
        <v>228</v>
      </c>
      <c r="F28" s="18">
        <v>45</v>
      </c>
      <c r="G28" s="33" t="s">
        <v>279</v>
      </c>
    </row>
    <row r="29" spans="1:7" x14ac:dyDescent="0.25">
      <c r="A29" s="19">
        <v>8</v>
      </c>
      <c r="B29" s="19">
        <v>2</v>
      </c>
      <c r="C29" s="34" t="str">
        <f>'5-Week Plan'!D11</f>
        <v>Playwright basics</v>
      </c>
      <c r="D29" s="18" t="s">
        <v>280</v>
      </c>
      <c r="E29" s="18" t="s">
        <v>228</v>
      </c>
      <c r="F29" s="18">
        <v>30</v>
      </c>
      <c r="G29" s="33" t="s">
        <v>281</v>
      </c>
    </row>
    <row r="30" spans="1:7" x14ac:dyDescent="0.25">
      <c r="A30" s="19">
        <v>8</v>
      </c>
      <c r="B30" s="19">
        <v>2</v>
      </c>
      <c r="C30" s="34" t="str">
        <f>'5-Week Plan'!D11</f>
        <v>Playwright basics</v>
      </c>
      <c r="D30" s="18" t="s">
        <v>282</v>
      </c>
      <c r="E30" s="18" t="s">
        <v>228</v>
      </c>
      <c r="F30" s="18">
        <v>20</v>
      </c>
      <c r="G30" s="33" t="s">
        <v>283</v>
      </c>
    </row>
    <row r="31" spans="1:7" x14ac:dyDescent="0.25">
      <c r="A31" s="19">
        <v>8</v>
      </c>
      <c r="B31" s="19">
        <v>2</v>
      </c>
      <c r="C31" s="34" t="str">
        <f>'5-Week Plan'!D11</f>
        <v>Playwright basics</v>
      </c>
      <c r="D31" s="18" t="s">
        <v>284</v>
      </c>
      <c r="E31" s="18" t="s">
        <v>228</v>
      </c>
      <c r="F31" s="18">
        <v>15</v>
      </c>
      <c r="G31" s="33" t="s">
        <v>285</v>
      </c>
    </row>
    <row r="32" spans="1:7" x14ac:dyDescent="0.25">
      <c r="A32" s="19">
        <v>9</v>
      </c>
      <c r="B32" s="19">
        <v>2</v>
      </c>
      <c r="C32" s="34" t="str">
        <f>'5-Week Plan'!D12</f>
        <v>Playwright framework design</v>
      </c>
      <c r="D32" s="32" t="s">
        <v>286</v>
      </c>
      <c r="E32" s="18" t="s">
        <v>228</v>
      </c>
      <c r="F32" s="18">
        <v>30</v>
      </c>
      <c r="G32" s="33" t="s">
        <v>287</v>
      </c>
    </row>
    <row r="33" spans="1:7" x14ac:dyDescent="0.25">
      <c r="A33" s="19">
        <v>9</v>
      </c>
      <c r="B33" s="19">
        <v>2</v>
      </c>
      <c r="C33" s="34" t="str">
        <f>'5-Week Plan'!D12</f>
        <v>Playwright framework design</v>
      </c>
      <c r="D33" s="18" t="s">
        <v>288</v>
      </c>
      <c r="E33" s="18" t="s">
        <v>228</v>
      </c>
      <c r="F33" s="18">
        <v>20</v>
      </c>
      <c r="G33" s="33" t="s">
        <v>289</v>
      </c>
    </row>
    <row r="34" spans="1:7" x14ac:dyDescent="0.25">
      <c r="A34" s="19">
        <v>9</v>
      </c>
      <c r="B34" s="19">
        <v>2</v>
      </c>
      <c r="C34" s="34" t="str">
        <f>'5-Week Plan'!D12</f>
        <v>Playwright framework design</v>
      </c>
      <c r="D34" s="18" t="s">
        <v>290</v>
      </c>
      <c r="E34" s="18" t="s">
        <v>228</v>
      </c>
      <c r="F34" s="18">
        <v>30</v>
      </c>
      <c r="G34" s="33" t="s">
        <v>291</v>
      </c>
    </row>
    <row r="35" spans="1:7" ht="25.5" x14ac:dyDescent="0.25">
      <c r="A35" s="19">
        <v>10</v>
      </c>
      <c r="B35" s="19">
        <v>2</v>
      </c>
      <c r="C35" s="34" t="str">
        <f>'5-Week Plan'!D13</f>
        <v>CI/CD with GitHub Actions  [MILESTONE]</v>
      </c>
      <c r="D35" s="32" t="s">
        <v>292</v>
      </c>
      <c r="E35" s="18" t="s">
        <v>228</v>
      </c>
      <c r="F35" s="18">
        <v>30</v>
      </c>
      <c r="G35" s="33" t="s">
        <v>293</v>
      </c>
    </row>
    <row r="36" spans="1:7" ht="25.5" x14ac:dyDescent="0.25">
      <c r="A36" s="19">
        <v>10</v>
      </c>
      <c r="B36" s="19">
        <v>2</v>
      </c>
      <c r="C36" s="34" t="str">
        <f>'5-Week Plan'!D13</f>
        <v>CI/CD with GitHub Actions  [MILESTONE]</v>
      </c>
      <c r="D36" s="18" t="s">
        <v>294</v>
      </c>
      <c r="E36" s="18" t="s">
        <v>228</v>
      </c>
      <c r="F36" s="18">
        <v>30</v>
      </c>
      <c r="G36" s="33" t="s">
        <v>295</v>
      </c>
    </row>
    <row r="37" spans="1:7" ht="25.5" x14ac:dyDescent="0.25">
      <c r="A37" s="19">
        <v>10</v>
      </c>
      <c r="B37" s="19">
        <v>2</v>
      </c>
      <c r="C37" s="34" t="str">
        <f>'5-Week Plan'!D13</f>
        <v>CI/CD with GitHub Actions  [MILESTONE]</v>
      </c>
      <c r="D37" s="18" t="s">
        <v>296</v>
      </c>
      <c r="E37" s="18" t="s">
        <v>225</v>
      </c>
      <c r="F37" s="18">
        <v>30</v>
      </c>
      <c r="G37" s="33" t="s">
        <v>226</v>
      </c>
    </row>
    <row r="38" spans="1:7" x14ac:dyDescent="0.25">
      <c r="A38" s="22">
        <v>11</v>
      </c>
      <c r="B38" s="22">
        <v>3</v>
      </c>
      <c r="C38" s="35" t="str">
        <f>'5-Week Plan'!D14</f>
        <v>Prompting for test design</v>
      </c>
      <c r="D38" s="32" t="s">
        <v>297</v>
      </c>
      <c r="E38" s="18" t="s">
        <v>228</v>
      </c>
      <c r="F38" s="18">
        <v>45</v>
      </c>
      <c r="G38" s="33" t="s">
        <v>298</v>
      </c>
    </row>
    <row r="39" spans="1:7" x14ac:dyDescent="0.25">
      <c r="A39" s="22">
        <v>11</v>
      </c>
      <c r="B39" s="22">
        <v>3</v>
      </c>
      <c r="C39" s="35" t="str">
        <f>'5-Week Plan'!D14</f>
        <v>Prompting for test design</v>
      </c>
      <c r="D39" s="18" t="s">
        <v>299</v>
      </c>
      <c r="E39" s="18" t="s">
        <v>228</v>
      </c>
      <c r="F39" s="18">
        <v>30</v>
      </c>
      <c r="G39" s="33" t="s">
        <v>300</v>
      </c>
    </row>
    <row r="40" spans="1:7" x14ac:dyDescent="0.25">
      <c r="A40" s="22">
        <v>11</v>
      </c>
      <c r="B40" s="22">
        <v>3</v>
      </c>
      <c r="C40" s="35" t="str">
        <f>'5-Week Plan'!D14</f>
        <v>Prompting for test design</v>
      </c>
      <c r="D40" s="18" t="s">
        <v>301</v>
      </c>
      <c r="E40" s="18" t="s">
        <v>302</v>
      </c>
      <c r="F40" s="18">
        <v>30</v>
      </c>
      <c r="G40" s="33" t="s">
        <v>303</v>
      </c>
    </row>
    <row r="41" spans="1:7" ht="25.5" x14ac:dyDescent="0.25">
      <c r="A41" s="22">
        <v>12</v>
      </c>
      <c r="B41" s="22">
        <v>3</v>
      </c>
      <c r="C41" s="35" t="str">
        <f>'5-Week Plan'!D15</f>
        <v>Advanced AI test design</v>
      </c>
      <c r="D41" s="32" t="s">
        <v>304</v>
      </c>
      <c r="E41" s="18" t="s">
        <v>302</v>
      </c>
      <c r="F41" s="18">
        <v>45</v>
      </c>
      <c r="G41" s="33" t="s">
        <v>303</v>
      </c>
    </row>
    <row r="42" spans="1:7" x14ac:dyDescent="0.25">
      <c r="A42" s="22">
        <v>12</v>
      </c>
      <c r="B42" s="22">
        <v>3</v>
      </c>
      <c r="C42" s="35" t="str">
        <f>'5-Week Plan'!D15</f>
        <v>Advanced AI test design</v>
      </c>
      <c r="D42" s="18" t="s">
        <v>305</v>
      </c>
      <c r="E42" s="18" t="s">
        <v>306</v>
      </c>
      <c r="F42" s="18">
        <v>30</v>
      </c>
      <c r="G42" s="33" t="s">
        <v>307</v>
      </c>
    </row>
    <row r="43" spans="1:7" x14ac:dyDescent="0.25">
      <c r="A43" s="22">
        <v>12</v>
      </c>
      <c r="B43" s="22">
        <v>3</v>
      </c>
      <c r="C43" s="35" t="str">
        <f>'5-Week Plan'!D15</f>
        <v>Advanced AI test design</v>
      </c>
      <c r="D43" s="18" t="s">
        <v>308</v>
      </c>
      <c r="E43" s="18" t="s">
        <v>228</v>
      </c>
      <c r="F43" s="18">
        <v>30</v>
      </c>
      <c r="G43" s="33" t="s">
        <v>298</v>
      </c>
    </row>
    <row r="44" spans="1:7" ht="25.5" x14ac:dyDescent="0.25">
      <c r="A44" s="22">
        <v>13</v>
      </c>
      <c r="B44" s="22">
        <v>3</v>
      </c>
      <c r="C44" s="35" t="str">
        <f>'5-Week Plan'!D16</f>
        <v>Coding assistants: Copilot &amp; Claude Code</v>
      </c>
      <c r="D44" s="32" t="s">
        <v>309</v>
      </c>
      <c r="E44" s="18" t="s">
        <v>228</v>
      </c>
      <c r="F44" s="18">
        <v>45</v>
      </c>
      <c r="G44" s="33" t="s">
        <v>310</v>
      </c>
    </row>
    <row r="45" spans="1:7" ht="25.5" x14ac:dyDescent="0.25">
      <c r="A45" s="22">
        <v>13</v>
      </c>
      <c r="B45" s="22">
        <v>3</v>
      </c>
      <c r="C45" s="35" t="str">
        <f>'5-Week Plan'!D16</f>
        <v>Coding assistants: Copilot &amp; Claude Code</v>
      </c>
      <c r="D45" s="18" t="s">
        <v>311</v>
      </c>
      <c r="E45" s="18" t="s">
        <v>228</v>
      </c>
      <c r="F45" s="18">
        <v>45</v>
      </c>
      <c r="G45" s="33" t="s">
        <v>312</v>
      </c>
    </row>
    <row r="46" spans="1:7" ht="25.5" x14ac:dyDescent="0.25">
      <c r="A46" s="22">
        <v>13</v>
      </c>
      <c r="B46" s="22">
        <v>3</v>
      </c>
      <c r="C46" s="35" t="str">
        <f>'5-Week Plan'!D16</f>
        <v>Coding assistants: Copilot &amp; Claude Code</v>
      </c>
      <c r="D46" s="18" t="s">
        <v>313</v>
      </c>
      <c r="E46" s="18" t="s">
        <v>228</v>
      </c>
      <c r="F46" s="18">
        <v>20</v>
      </c>
      <c r="G46" s="33" t="s">
        <v>314</v>
      </c>
    </row>
    <row r="47" spans="1:7" x14ac:dyDescent="0.25">
      <c r="A47" s="22">
        <v>14</v>
      </c>
      <c r="B47" s="22">
        <v>3</v>
      </c>
      <c r="C47" s="35" t="str">
        <f>'5-Week Plan'!D17</f>
        <v>Skills, agents, slash commands</v>
      </c>
      <c r="D47" s="32" t="s">
        <v>315</v>
      </c>
      <c r="E47" s="18" t="s">
        <v>228</v>
      </c>
      <c r="F47" s="18">
        <v>30</v>
      </c>
      <c r="G47" s="33" t="s">
        <v>316</v>
      </c>
    </row>
    <row r="48" spans="1:7" x14ac:dyDescent="0.25">
      <c r="A48" s="22">
        <v>14</v>
      </c>
      <c r="B48" s="22">
        <v>3</v>
      </c>
      <c r="C48" s="35" t="str">
        <f>'5-Week Plan'!D17</f>
        <v>Skills, agents, slash commands</v>
      </c>
      <c r="D48" s="18" t="s">
        <v>317</v>
      </c>
      <c r="E48" s="18" t="s">
        <v>228</v>
      </c>
      <c r="F48" s="18">
        <v>20</v>
      </c>
      <c r="G48" s="33" t="s">
        <v>318</v>
      </c>
    </row>
    <row r="49" spans="1:7" x14ac:dyDescent="0.25">
      <c r="A49" s="22">
        <v>14</v>
      </c>
      <c r="B49" s="22">
        <v>3</v>
      </c>
      <c r="C49" s="35" t="str">
        <f>'5-Week Plan'!D17</f>
        <v>Skills, agents, slash commands</v>
      </c>
      <c r="D49" s="18" t="s">
        <v>319</v>
      </c>
      <c r="E49" s="18" t="s">
        <v>228</v>
      </c>
      <c r="F49" s="18">
        <v>30</v>
      </c>
      <c r="G49" s="33" t="s">
        <v>320</v>
      </c>
    </row>
    <row r="50" spans="1:7" x14ac:dyDescent="0.25">
      <c r="A50" s="22">
        <v>14</v>
      </c>
      <c r="B50" s="22">
        <v>3</v>
      </c>
      <c r="C50" s="35" t="str">
        <f>'5-Week Plan'!D17</f>
        <v>Skills, agents, slash commands</v>
      </c>
      <c r="D50" s="18" t="s">
        <v>321</v>
      </c>
      <c r="E50" s="18" t="s">
        <v>322</v>
      </c>
      <c r="F50" s="18">
        <v>30</v>
      </c>
      <c r="G50" s="33" t="s">
        <v>323</v>
      </c>
    </row>
    <row r="51" spans="1:7" ht="25.5" x14ac:dyDescent="0.25">
      <c r="A51" s="22">
        <v>15</v>
      </c>
      <c r="B51" s="22">
        <v>3</v>
      </c>
      <c r="C51" s="35" t="str">
        <f>'5-Week Plan'!D18</f>
        <v>AI-powered testing tools &amp; self-healing</v>
      </c>
      <c r="D51" s="32" t="s">
        <v>324</v>
      </c>
      <c r="E51" s="18" t="s">
        <v>228</v>
      </c>
      <c r="F51" s="18">
        <v>30</v>
      </c>
      <c r="G51" s="33" t="s">
        <v>325</v>
      </c>
    </row>
    <row r="52" spans="1:7" x14ac:dyDescent="0.25">
      <c r="A52" s="22">
        <v>15</v>
      </c>
      <c r="B52" s="22">
        <v>3</v>
      </c>
      <c r="C52" s="35" t="str">
        <f>'5-Week Plan'!D18</f>
        <v>AI-powered testing tools &amp; self-healing</v>
      </c>
      <c r="D52" s="18" t="s">
        <v>326</v>
      </c>
      <c r="E52" s="18" t="s">
        <v>327</v>
      </c>
      <c r="F52" s="18">
        <v>30</v>
      </c>
      <c r="G52" s="33" t="s">
        <v>328</v>
      </c>
    </row>
    <row r="53" spans="1:7" x14ac:dyDescent="0.25">
      <c r="A53" s="22">
        <v>15</v>
      </c>
      <c r="B53" s="22">
        <v>3</v>
      </c>
      <c r="C53" s="35" t="str">
        <f>'5-Week Plan'!D18</f>
        <v>AI-powered testing tools &amp; self-healing</v>
      </c>
      <c r="D53" s="18" t="s">
        <v>329</v>
      </c>
      <c r="E53" s="18" t="s">
        <v>327</v>
      </c>
      <c r="F53" s="18">
        <v>30</v>
      </c>
      <c r="G53" s="33" t="s">
        <v>330</v>
      </c>
    </row>
    <row r="54" spans="1:7" x14ac:dyDescent="0.25">
      <c r="A54" s="22">
        <v>15</v>
      </c>
      <c r="B54" s="22">
        <v>3</v>
      </c>
      <c r="C54" s="35" t="str">
        <f>'5-Week Plan'!D18</f>
        <v>AI-powered testing tools &amp; self-healing</v>
      </c>
      <c r="D54" s="18" t="s">
        <v>331</v>
      </c>
      <c r="E54" s="18" t="s">
        <v>327</v>
      </c>
      <c r="F54" s="18">
        <v>30</v>
      </c>
      <c r="G54" s="33" t="s">
        <v>332</v>
      </c>
    </row>
    <row r="55" spans="1:7" x14ac:dyDescent="0.25">
      <c r="A55" s="25">
        <v>16</v>
      </c>
      <c r="B55" s="25">
        <v>4</v>
      </c>
      <c r="C55" s="36" t="str">
        <f>'5-Week Plan'!D19</f>
        <v>MCP fundamentals + Playwright MCP</v>
      </c>
      <c r="D55" s="32" t="s">
        <v>333</v>
      </c>
      <c r="E55" s="18" t="s">
        <v>228</v>
      </c>
      <c r="F55" s="18">
        <v>45</v>
      </c>
      <c r="G55" s="33" t="s">
        <v>334</v>
      </c>
    </row>
    <row r="56" spans="1:7" x14ac:dyDescent="0.25">
      <c r="A56" s="25">
        <v>16</v>
      </c>
      <c r="B56" s="25">
        <v>4</v>
      </c>
      <c r="C56" s="36" t="str">
        <f>'5-Week Plan'!D19</f>
        <v>MCP fundamentals + Playwright MCP</v>
      </c>
      <c r="D56" s="18" t="s">
        <v>335</v>
      </c>
      <c r="E56" s="18" t="s">
        <v>322</v>
      </c>
      <c r="F56" s="18">
        <v>30</v>
      </c>
      <c r="G56" s="33" t="s">
        <v>336</v>
      </c>
    </row>
    <row r="57" spans="1:7" x14ac:dyDescent="0.25">
      <c r="A57" s="25">
        <v>16</v>
      </c>
      <c r="B57" s="25">
        <v>4</v>
      </c>
      <c r="C57" s="36" t="str">
        <f>'5-Week Plan'!D19</f>
        <v>MCP fundamentals + Playwright MCP</v>
      </c>
      <c r="D57" s="18" t="s">
        <v>337</v>
      </c>
      <c r="E57" s="18" t="s">
        <v>228</v>
      </c>
      <c r="F57" s="18">
        <v>20</v>
      </c>
      <c r="G57" s="33" t="s">
        <v>338</v>
      </c>
    </row>
    <row r="58" spans="1:7" ht="25.5" x14ac:dyDescent="0.25">
      <c r="A58" s="25">
        <v>17</v>
      </c>
      <c r="B58" s="25">
        <v>4</v>
      </c>
      <c r="C58" s="36" t="str">
        <f>'5-Week Plan'!D20</f>
        <v>Read stories &amp; PRs via MCP (GitHub/Jira)</v>
      </c>
      <c r="D58" s="32" t="s">
        <v>339</v>
      </c>
      <c r="E58" s="18" t="s">
        <v>322</v>
      </c>
      <c r="F58" s="18">
        <v>30</v>
      </c>
      <c r="G58" s="33" t="s">
        <v>340</v>
      </c>
    </row>
    <row r="59" spans="1:7" ht="25.5" x14ac:dyDescent="0.25">
      <c r="A59" s="25">
        <v>17</v>
      </c>
      <c r="B59" s="25">
        <v>4</v>
      </c>
      <c r="C59" s="36" t="str">
        <f>'5-Week Plan'!D20</f>
        <v>Read stories &amp; PRs via MCP (GitHub/Jira)</v>
      </c>
      <c r="D59" s="18" t="s">
        <v>341</v>
      </c>
      <c r="E59" s="18" t="s">
        <v>228</v>
      </c>
      <c r="F59" s="18">
        <v>30</v>
      </c>
      <c r="G59" s="33" t="s">
        <v>342</v>
      </c>
    </row>
    <row r="60" spans="1:7" ht="25.5" x14ac:dyDescent="0.25">
      <c r="A60" s="25">
        <v>17</v>
      </c>
      <c r="B60" s="25">
        <v>4</v>
      </c>
      <c r="C60" s="36" t="str">
        <f>'5-Week Plan'!D20</f>
        <v>Read stories &amp; PRs via MCP (GitHub/Jira)</v>
      </c>
      <c r="D60" s="18" t="s">
        <v>343</v>
      </c>
      <c r="E60" s="18" t="s">
        <v>228</v>
      </c>
      <c r="F60" s="18">
        <v>30</v>
      </c>
      <c r="G60" s="33" t="s">
        <v>344</v>
      </c>
    </row>
    <row r="61" spans="1:7" x14ac:dyDescent="0.25">
      <c r="A61" s="25">
        <v>18</v>
      </c>
      <c r="B61" s="25">
        <v>4</v>
      </c>
      <c r="C61" s="36" t="str">
        <f>'5-Week Plan'!D21</f>
        <v>Write test cases to Confluence</v>
      </c>
      <c r="D61" s="32" t="s">
        <v>345</v>
      </c>
      <c r="E61" s="18" t="s">
        <v>228</v>
      </c>
      <c r="F61" s="18">
        <v>45</v>
      </c>
      <c r="G61" s="33" t="s">
        <v>346</v>
      </c>
    </row>
    <row r="62" spans="1:7" x14ac:dyDescent="0.25">
      <c r="A62" s="25">
        <v>18</v>
      </c>
      <c r="B62" s="25">
        <v>4</v>
      </c>
      <c r="C62" s="36" t="str">
        <f>'5-Week Plan'!D21</f>
        <v>Write test cases to Confluence</v>
      </c>
      <c r="D62" s="18" t="s">
        <v>347</v>
      </c>
      <c r="E62" s="18" t="s">
        <v>228</v>
      </c>
      <c r="F62" s="18">
        <v>30</v>
      </c>
      <c r="G62" s="33" t="s">
        <v>348</v>
      </c>
    </row>
    <row r="63" spans="1:7" x14ac:dyDescent="0.25">
      <c r="A63" s="25">
        <v>18</v>
      </c>
      <c r="B63" s="25">
        <v>4</v>
      </c>
      <c r="C63" s="36" t="str">
        <f>'5-Week Plan'!D21</f>
        <v>Write test cases to Confluence</v>
      </c>
      <c r="D63" s="18" t="s">
        <v>349</v>
      </c>
      <c r="E63" s="18" t="s">
        <v>228</v>
      </c>
      <c r="F63" s="18">
        <v>10</v>
      </c>
      <c r="G63" s="33" t="s">
        <v>350</v>
      </c>
    </row>
    <row r="64" spans="1:7" x14ac:dyDescent="0.25">
      <c r="A64" s="25">
        <v>19</v>
      </c>
      <c r="B64" s="25">
        <v>4</v>
      </c>
      <c r="C64" s="36" t="str">
        <f>'5-Week Plan'!D22</f>
        <v>Test case -&gt; automation -&gt; bug</v>
      </c>
      <c r="D64" s="32" t="s">
        <v>351</v>
      </c>
      <c r="E64" s="18" t="s">
        <v>228</v>
      </c>
      <c r="F64" s="18">
        <v>30</v>
      </c>
      <c r="G64" s="33" t="s">
        <v>352</v>
      </c>
    </row>
    <row r="65" spans="1:7" x14ac:dyDescent="0.25">
      <c r="A65" s="25">
        <v>19</v>
      </c>
      <c r="B65" s="25">
        <v>4</v>
      </c>
      <c r="C65" s="36" t="str">
        <f>'5-Week Plan'!D22</f>
        <v>Test case -&gt; automation -&gt; bug</v>
      </c>
      <c r="D65" s="18" t="s">
        <v>353</v>
      </c>
      <c r="E65" s="18" t="s">
        <v>228</v>
      </c>
      <c r="F65" s="18">
        <v>20</v>
      </c>
      <c r="G65" s="33" t="s">
        <v>354</v>
      </c>
    </row>
    <row r="66" spans="1:7" x14ac:dyDescent="0.25">
      <c r="A66" s="25">
        <v>19</v>
      </c>
      <c r="B66" s="25">
        <v>4</v>
      </c>
      <c r="C66" s="36" t="str">
        <f>'5-Week Plan'!D22</f>
        <v>Test case -&gt; automation -&gt; bug</v>
      </c>
      <c r="D66" s="18" t="s">
        <v>355</v>
      </c>
      <c r="E66" s="18" t="s">
        <v>228</v>
      </c>
      <c r="F66" s="18">
        <v>20</v>
      </c>
      <c r="G66" s="33" t="s">
        <v>283</v>
      </c>
    </row>
    <row r="67" spans="1:7" ht="25.5" x14ac:dyDescent="0.25">
      <c r="A67" s="25">
        <v>20</v>
      </c>
      <c r="B67" s="25">
        <v>4</v>
      </c>
      <c r="C67" s="36" t="str">
        <f>'5-Week Plan'!D23</f>
        <v>Build your own MCP server  + week review</v>
      </c>
      <c r="D67" s="32" t="s">
        <v>356</v>
      </c>
      <c r="E67" s="18" t="s">
        <v>322</v>
      </c>
      <c r="F67" s="18">
        <v>60</v>
      </c>
      <c r="G67" s="33" t="s">
        <v>357</v>
      </c>
    </row>
    <row r="68" spans="1:7" ht="25.5" x14ac:dyDescent="0.25">
      <c r="A68" s="25">
        <v>20</v>
      </c>
      <c r="B68" s="25">
        <v>4</v>
      </c>
      <c r="C68" s="36" t="str">
        <f>'5-Week Plan'!D23</f>
        <v>Build your own MCP server  + week review</v>
      </c>
      <c r="D68" s="18" t="s">
        <v>358</v>
      </c>
      <c r="E68" s="18" t="s">
        <v>228</v>
      </c>
      <c r="F68" s="18">
        <v>45</v>
      </c>
      <c r="G68" s="33" t="s">
        <v>334</v>
      </c>
    </row>
    <row r="69" spans="1:7" ht="25.5" x14ac:dyDescent="0.25">
      <c r="A69" s="25">
        <v>20</v>
      </c>
      <c r="B69" s="25">
        <v>4</v>
      </c>
      <c r="C69" s="36" t="str">
        <f>'5-Week Plan'!D23</f>
        <v>Build your own MCP server  + week review</v>
      </c>
      <c r="D69" s="18" t="s">
        <v>359</v>
      </c>
      <c r="E69" s="18" t="s">
        <v>322</v>
      </c>
      <c r="F69" s="18">
        <v>20</v>
      </c>
      <c r="G69" s="33" t="s">
        <v>360</v>
      </c>
    </row>
    <row r="70" spans="1:7" ht="25.5" x14ac:dyDescent="0.25">
      <c r="A70" s="28">
        <v>21</v>
      </c>
      <c r="B70" s="28">
        <v>5</v>
      </c>
      <c r="C70" s="37" t="str">
        <f>'5-Week Plan'!D24</f>
        <v>How LLMs work + failure modes</v>
      </c>
      <c r="D70" s="32" t="s">
        <v>361</v>
      </c>
      <c r="E70" s="18" t="s">
        <v>362</v>
      </c>
      <c r="F70" s="18">
        <v>60</v>
      </c>
      <c r="G70" s="33" t="s">
        <v>363</v>
      </c>
    </row>
    <row r="71" spans="1:7" x14ac:dyDescent="0.25">
      <c r="A71" s="28">
        <v>21</v>
      </c>
      <c r="B71" s="28">
        <v>5</v>
      </c>
      <c r="C71" s="37" t="str">
        <f>'5-Week Plan'!D24</f>
        <v>How LLMs work + failure modes</v>
      </c>
      <c r="D71" s="18" t="s">
        <v>364</v>
      </c>
      <c r="E71" s="18" t="s">
        <v>365</v>
      </c>
      <c r="F71" s="18">
        <v>60</v>
      </c>
      <c r="G71" s="33" t="s">
        <v>366</v>
      </c>
    </row>
    <row r="72" spans="1:7" x14ac:dyDescent="0.25">
      <c r="A72" s="28">
        <v>21</v>
      </c>
      <c r="B72" s="28">
        <v>5</v>
      </c>
      <c r="C72" s="37" t="str">
        <f>'5-Week Plan'!D24</f>
        <v>How LLMs work + failure modes</v>
      </c>
      <c r="D72" s="18" t="s">
        <v>367</v>
      </c>
      <c r="E72" s="18" t="s">
        <v>302</v>
      </c>
      <c r="F72" s="18">
        <v>30</v>
      </c>
      <c r="G72" s="33" t="s">
        <v>368</v>
      </c>
    </row>
    <row r="73" spans="1:7" x14ac:dyDescent="0.25">
      <c r="A73" s="28">
        <v>22</v>
      </c>
      <c r="B73" s="28">
        <v>5</v>
      </c>
      <c r="C73" s="37" t="str">
        <f>'5-Week Plan'!D25</f>
        <v>Evaluation: golden datasets</v>
      </c>
      <c r="D73" s="32" t="s">
        <v>369</v>
      </c>
      <c r="E73" s="18" t="s">
        <v>228</v>
      </c>
      <c r="F73" s="18">
        <v>45</v>
      </c>
      <c r="G73" s="33" t="s">
        <v>370</v>
      </c>
    </row>
    <row r="74" spans="1:7" x14ac:dyDescent="0.25">
      <c r="A74" s="28">
        <v>22</v>
      </c>
      <c r="B74" s="28">
        <v>5</v>
      </c>
      <c r="C74" s="37" t="str">
        <f>'5-Week Plan'!D25</f>
        <v>Evaluation: golden datasets</v>
      </c>
      <c r="D74" s="18" t="s">
        <v>371</v>
      </c>
      <c r="E74" s="18" t="s">
        <v>228</v>
      </c>
      <c r="F74" s="18">
        <v>30</v>
      </c>
      <c r="G74" s="33" t="s">
        <v>372</v>
      </c>
    </row>
    <row r="75" spans="1:7" x14ac:dyDescent="0.25">
      <c r="A75" s="28">
        <v>22</v>
      </c>
      <c r="B75" s="28">
        <v>5</v>
      </c>
      <c r="C75" s="37" t="str">
        <f>'5-Week Plan'!D25</f>
        <v>Evaluation: golden datasets</v>
      </c>
      <c r="D75" s="18" t="s">
        <v>373</v>
      </c>
      <c r="E75" s="18" t="s">
        <v>228</v>
      </c>
      <c r="F75" s="18">
        <v>30</v>
      </c>
      <c r="G75" s="33" t="s">
        <v>374</v>
      </c>
    </row>
    <row r="76" spans="1:7" ht="25.5" x14ac:dyDescent="0.25">
      <c r="A76" s="28">
        <v>23</v>
      </c>
      <c r="B76" s="28">
        <v>5</v>
      </c>
      <c r="C76" s="37" t="str">
        <f>'5-Week Plan'!D26</f>
        <v>Prompt injection, jailbreaks, data leakage</v>
      </c>
      <c r="D76" s="32" t="s">
        <v>375</v>
      </c>
      <c r="E76" s="18" t="s">
        <v>225</v>
      </c>
      <c r="F76" s="18">
        <v>45</v>
      </c>
      <c r="G76" s="33" t="s">
        <v>376</v>
      </c>
    </row>
    <row r="77" spans="1:7" ht="25.5" x14ac:dyDescent="0.25">
      <c r="A77" s="28">
        <v>23</v>
      </c>
      <c r="B77" s="28">
        <v>5</v>
      </c>
      <c r="C77" s="37" t="str">
        <f>'5-Week Plan'!D26</f>
        <v>Prompt injection, jailbreaks, data leakage</v>
      </c>
      <c r="D77" s="18" t="s">
        <v>377</v>
      </c>
      <c r="E77" s="18" t="s">
        <v>228</v>
      </c>
      <c r="F77" s="18">
        <v>30</v>
      </c>
      <c r="G77" s="33" t="s">
        <v>378</v>
      </c>
    </row>
    <row r="78" spans="1:7" ht="25.5" x14ac:dyDescent="0.25">
      <c r="A78" s="28">
        <v>23</v>
      </c>
      <c r="B78" s="28">
        <v>5</v>
      </c>
      <c r="C78" s="37" t="str">
        <f>'5-Week Plan'!D26</f>
        <v>Prompt injection, jailbreaks, data leakage</v>
      </c>
      <c r="D78" s="18" t="s">
        <v>379</v>
      </c>
      <c r="E78" s="18" t="s">
        <v>380</v>
      </c>
      <c r="F78" s="18">
        <v>20</v>
      </c>
      <c r="G78" s="33" t="s">
        <v>381</v>
      </c>
    </row>
    <row r="79" spans="1:7" ht="25.5" x14ac:dyDescent="0.25">
      <c r="A79" s="28">
        <v>23</v>
      </c>
      <c r="B79" s="28">
        <v>5</v>
      </c>
      <c r="C79" s="37" t="str">
        <f>'5-Week Plan'!D26</f>
        <v>Prompt injection, jailbreaks, data leakage</v>
      </c>
      <c r="D79" s="18" t="s">
        <v>382</v>
      </c>
      <c r="E79" s="18" t="s">
        <v>302</v>
      </c>
      <c r="F79" s="18">
        <v>30</v>
      </c>
      <c r="G79" s="33" t="s">
        <v>368</v>
      </c>
    </row>
    <row r="80" spans="1:7" x14ac:dyDescent="0.25">
      <c r="A80" s="28">
        <v>24</v>
      </c>
      <c r="B80" s="28">
        <v>5</v>
      </c>
      <c r="C80" s="37" t="str">
        <f>'5-Week Plan'!D27</f>
        <v>Capstone integration</v>
      </c>
      <c r="D80" s="32" t="s">
        <v>383</v>
      </c>
      <c r="E80" s="18" t="s">
        <v>228</v>
      </c>
      <c r="F80" s="18">
        <v>30</v>
      </c>
      <c r="G80" s="33" t="s">
        <v>384</v>
      </c>
    </row>
    <row r="81" spans="1:7" x14ac:dyDescent="0.25">
      <c r="A81" s="28">
        <v>24</v>
      </c>
      <c r="B81" s="28">
        <v>5</v>
      </c>
      <c r="C81" s="37" t="str">
        <f>'5-Week Plan'!D27</f>
        <v>Capstone integration</v>
      </c>
      <c r="D81" s="18" t="s">
        <v>385</v>
      </c>
      <c r="E81" s="18" t="s">
        <v>228</v>
      </c>
      <c r="F81" s="18">
        <v>45</v>
      </c>
      <c r="G81" s="33" t="s">
        <v>386</v>
      </c>
    </row>
    <row r="82" spans="1:7" x14ac:dyDescent="0.25">
      <c r="A82" s="28">
        <v>24</v>
      </c>
      <c r="B82" s="28">
        <v>5</v>
      </c>
      <c r="C82" s="37" t="str">
        <f>'5-Week Plan'!D27</f>
        <v>Capstone integration</v>
      </c>
      <c r="D82" s="18" t="s">
        <v>387</v>
      </c>
      <c r="E82" s="18" t="s">
        <v>228</v>
      </c>
      <c r="F82" s="18">
        <v>20</v>
      </c>
      <c r="G82" s="33" t="s">
        <v>388</v>
      </c>
    </row>
    <row r="83" spans="1:7" x14ac:dyDescent="0.25">
      <c r="A83" s="28">
        <v>25</v>
      </c>
      <c r="B83" s="28">
        <v>5</v>
      </c>
      <c r="C83" s="37" t="str">
        <f>'5-Week Plan'!D28</f>
        <v>Ship &amp; showcase  [MILESTONE]</v>
      </c>
      <c r="D83" s="32" t="s">
        <v>389</v>
      </c>
      <c r="E83" s="18" t="s">
        <v>302</v>
      </c>
      <c r="F83" s="18">
        <v>20</v>
      </c>
      <c r="G83" s="33" t="s">
        <v>390</v>
      </c>
    </row>
    <row r="84" spans="1:7" x14ac:dyDescent="0.25">
      <c r="A84" s="28">
        <v>25</v>
      </c>
      <c r="B84" s="28">
        <v>5</v>
      </c>
      <c r="C84" s="37" t="str">
        <f>'5-Week Plan'!D28</f>
        <v>Ship &amp; showcase  [MILESTONE]</v>
      </c>
      <c r="D84" s="18" t="s">
        <v>391</v>
      </c>
      <c r="E84" s="18" t="s">
        <v>302</v>
      </c>
      <c r="F84" s="18">
        <v>10</v>
      </c>
      <c r="G84" s="33" t="s">
        <v>392</v>
      </c>
    </row>
    <row r="85" spans="1:7" x14ac:dyDescent="0.25">
      <c r="A85" s="28">
        <v>25</v>
      </c>
      <c r="B85" s="28">
        <v>5</v>
      </c>
      <c r="C85" s="37" t="str">
        <f>'5-Week Plan'!D28</f>
        <v>Ship &amp; showcase  [MILESTONE]</v>
      </c>
      <c r="D85" s="18" t="s">
        <v>393</v>
      </c>
      <c r="E85" s="18" t="s">
        <v>327</v>
      </c>
      <c r="F85" s="18">
        <v>10</v>
      </c>
      <c r="G85" s="33" t="s">
        <v>394</v>
      </c>
    </row>
    <row r="86" spans="1:7" x14ac:dyDescent="0.25">
      <c r="A86" s="28">
        <v>25</v>
      </c>
      <c r="B86" s="28">
        <v>5</v>
      </c>
      <c r="C86" s="37" t="str">
        <f>'5-Week Plan'!D28</f>
        <v>Ship &amp; showcase  [MILESTONE]</v>
      </c>
      <c r="D86" s="18" t="s">
        <v>395</v>
      </c>
      <c r="E86" s="18" t="s">
        <v>228</v>
      </c>
      <c r="F86" s="18">
        <v>20</v>
      </c>
      <c r="G86" s="33" t="s">
        <v>396</v>
      </c>
    </row>
  </sheetData>
  <autoFilter ref="A3:G86" xr:uid="{00000000-0009-0000-0000-000002000000}"/>
  <hyperlinks>
    <hyperlink ref="G4" r:id="rId1" xr:uid="{00000000-0004-0000-0200-000000000000}"/>
    <hyperlink ref="G5" r:id="rId2" xr:uid="{00000000-0004-0000-0200-000001000000}"/>
    <hyperlink ref="G6" r:id="rId3" xr:uid="{00000000-0004-0000-0200-000002000000}"/>
    <hyperlink ref="G7" r:id="rId4" xr:uid="{00000000-0004-0000-0200-000003000000}"/>
    <hyperlink ref="G8" r:id="rId5" xr:uid="{00000000-0004-0000-0200-000004000000}"/>
    <hyperlink ref="G9" r:id="rId6" xr:uid="{00000000-0004-0000-0200-000005000000}"/>
    <hyperlink ref="G10" r:id="rId7" xr:uid="{00000000-0004-0000-0200-000006000000}"/>
    <hyperlink ref="G11" r:id="rId8" xr:uid="{00000000-0004-0000-0200-000007000000}"/>
    <hyperlink ref="G12" r:id="rId9" xr:uid="{00000000-0004-0000-0200-000008000000}"/>
    <hyperlink ref="G13" r:id="rId10" xr:uid="{00000000-0004-0000-0200-000009000000}"/>
    <hyperlink ref="G14" r:id="rId11" xr:uid="{00000000-0004-0000-0200-00000A000000}"/>
    <hyperlink ref="G15" r:id="rId12" xr:uid="{00000000-0004-0000-0200-00000B000000}"/>
    <hyperlink ref="G16" r:id="rId13" xr:uid="{00000000-0004-0000-0200-00000C000000}"/>
    <hyperlink ref="G17" r:id="rId14" xr:uid="{00000000-0004-0000-0200-00000D000000}"/>
    <hyperlink ref="G18" r:id="rId15" xr:uid="{00000000-0004-0000-0200-00000E000000}"/>
    <hyperlink ref="G19" r:id="rId16" xr:uid="{00000000-0004-0000-0200-00000F000000}"/>
    <hyperlink ref="G20" r:id="rId17" xr:uid="{00000000-0004-0000-0200-000010000000}"/>
    <hyperlink ref="G21" r:id="rId18" xr:uid="{00000000-0004-0000-0200-000011000000}"/>
    <hyperlink ref="G22" r:id="rId19" xr:uid="{00000000-0004-0000-0200-000012000000}"/>
    <hyperlink ref="G23" r:id="rId20" xr:uid="{00000000-0004-0000-0200-000013000000}"/>
    <hyperlink ref="G24" r:id="rId21" xr:uid="{00000000-0004-0000-0200-000014000000}"/>
    <hyperlink ref="G25" r:id="rId22" xr:uid="{00000000-0004-0000-0200-000015000000}"/>
    <hyperlink ref="G26" r:id="rId23" xr:uid="{00000000-0004-0000-0200-000016000000}"/>
    <hyperlink ref="G27" r:id="rId24" xr:uid="{00000000-0004-0000-0200-000017000000}"/>
    <hyperlink ref="G28" r:id="rId25" xr:uid="{00000000-0004-0000-0200-000018000000}"/>
    <hyperlink ref="G29" r:id="rId26" xr:uid="{00000000-0004-0000-0200-000019000000}"/>
    <hyperlink ref="G30" r:id="rId27" xr:uid="{00000000-0004-0000-0200-00001A000000}"/>
    <hyperlink ref="G31" r:id="rId28" xr:uid="{00000000-0004-0000-0200-00001B000000}"/>
    <hyperlink ref="G32" r:id="rId29" xr:uid="{00000000-0004-0000-0200-00001C000000}"/>
    <hyperlink ref="G33" r:id="rId30" xr:uid="{00000000-0004-0000-0200-00001D000000}"/>
    <hyperlink ref="G34" r:id="rId31" xr:uid="{00000000-0004-0000-0200-00001E000000}"/>
    <hyperlink ref="G35" r:id="rId32" xr:uid="{00000000-0004-0000-0200-00001F000000}"/>
    <hyperlink ref="G36" r:id="rId33" xr:uid="{00000000-0004-0000-0200-000020000000}"/>
    <hyperlink ref="G37" r:id="rId34" xr:uid="{00000000-0004-0000-0200-000021000000}"/>
    <hyperlink ref="G38" r:id="rId35" xr:uid="{00000000-0004-0000-0200-000022000000}"/>
    <hyperlink ref="G39" r:id="rId36" xr:uid="{00000000-0004-0000-0200-000023000000}"/>
    <hyperlink ref="G40" r:id="rId37" xr:uid="{00000000-0004-0000-0200-000024000000}"/>
    <hyperlink ref="G41" r:id="rId38" xr:uid="{00000000-0004-0000-0200-000025000000}"/>
    <hyperlink ref="G42" r:id="rId39" xr:uid="{00000000-0004-0000-0200-000026000000}"/>
    <hyperlink ref="G43" r:id="rId40" xr:uid="{00000000-0004-0000-0200-000027000000}"/>
    <hyperlink ref="G44" r:id="rId41" xr:uid="{00000000-0004-0000-0200-000028000000}"/>
    <hyperlink ref="G45" r:id="rId42" xr:uid="{00000000-0004-0000-0200-000029000000}"/>
    <hyperlink ref="G46" r:id="rId43" xr:uid="{00000000-0004-0000-0200-00002A000000}"/>
    <hyperlink ref="G47" r:id="rId44" xr:uid="{00000000-0004-0000-0200-00002B000000}"/>
    <hyperlink ref="G48" r:id="rId45" xr:uid="{00000000-0004-0000-0200-00002C000000}"/>
    <hyperlink ref="G49" r:id="rId46" xr:uid="{00000000-0004-0000-0200-00002D000000}"/>
    <hyperlink ref="G50" r:id="rId47" xr:uid="{00000000-0004-0000-0200-00002E000000}"/>
    <hyperlink ref="G51" r:id="rId48" xr:uid="{00000000-0004-0000-0200-00002F000000}"/>
    <hyperlink ref="G52" r:id="rId49" xr:uid="{00000000-0004-0000-0200-000030000000}"/>
    <hyperlink ref="G53" r:id="rId50" xr:uid="{00000000-0004-0000-0200-000031000000}"/>
    <hyperlink ref="G54" r:id="rId51" xr:uid="{00000000-0004-0000-0200-000032000000}"/>
    <hyperlink ref="G55" r:id="rId52" xr:uid="{00000000-0004-0000-0200-000033000000}"/>
    <hyperlink ref="G56" r:id="rId53" xr:uid="{00000000-0004-0000-0200-000034000000}"/>
    <hyperlink ref="G57" r:id="rId54" xr:uid="{00000000-0004-0000-0200-000035000000}"/>
    <hyperlink ref="G58" r:id="rId55" xr:uid="{00000000-0004-0000-0200-000036000000}"/>
    <hyperlink ref="G59" r:id="rId56" xr:uid="{00000000-0004-0000-0200-000037000000}"/>
    <hyperlink ref="G60" r:id="rId57" xr:uid="{00000000-0004-0000-0200-000038000000}"/>
    <hyperlink ref="G61" r:id="rId58" xr:uid="{00000000-0004-0000-0200-000039000000}"/>
    <hyperlink ref="G62" r:id="rId59" xr:uid="{00000000-0004-0000-0200-00003A000000}"/>
    <hyperlink ref="G63" r:id="rId60" xr:uid="{00000000-0004-0000-0200-00003B000000}"/>
    <hyperlink ref="G64" r:id="rId61" xr:uid="{00000000-0004-0000-0200-00003C000000}"/>
    <hyperlink ref="G65" r:id="rId62" xr:uid="{00000000-0004-0000-0200-00003D000000}"/>
    <hyperlink ref="G66" r:id="rId63" xr:uid="{00000000-0004-0000-0200-00003E000000}"/>
    <hyperlink ref="G67" r:id="rId64" xr:uid="{00000000-0004-0000-0200-00003F000000}"/>
    <hyperlink ref="G68" r:id="rId65" xr:uid="{00000000-0004-0000-0200-000040000000}"/>
    <hyperlink ref="G69" r:id="rId66" xr:uid="{00000000-0004-0000-0200-000041000000}"/>
    <hyperlink ref="G70" r:id="rId67" xr:uid="{00000000-0004-0000-0200-000042000000}"/>
    <hyperlink ref="G71" r:id="rId68" xr:uid="{00000000-0004-0000-0200-000043000000}"/>
    <hyperlink ref="G72" r:id="rId69" xr:uid="{00000000-0004-0000-0200-000044000000}"/>
    <hyperlink ref="G73" r:id="rId70" xr:uid="{00000000-0004-0000-0200-000045000000}"/>
    <hyperlink ref="G74" r:id="rId71" xr:uid="{00000000-0004-0000-0200-000046000000}"/>
    <hyperlink ref="G75" r:id="rId72" xr:uid="{00000000-0004-0000-0200-000047000000}"/>
    <hyperlink ref="G76" r:id="rId73" xr:uid="{00000000-0004-0000-0200-000048000000}"/>
    <hyperlink ref="G77" r:id="rId74" xr:uid="{00000000-0004-0000-0200-000049000000}"/>
    <hyperlink ref="G78" r:id="rId75" xr:uid="{00000000-0004-0000-0200-00004A000000}"/>
    <hyperlink ref="G79" r:id="rId76" xr:uid="{00000000-0004-0000-0200-00004B000000}"/>
    <hyperlink ref="G80" r:id="rId77" xr:uid="{00000000-0004-0000-0200-00004C000000}"/>
    <hyperlink ref="G81" r:id="rId78" xr:uid="{00000000-0004-0000-0200-00004D000000}"/>
    <hyperlink ref="G82" r:id="rId79" xr:uid="{00000000-0004-0000-0200-00004E000000}"/>
    <hyperlink ref="G83" r:id="rId80" xr:uid="{00000000-0004-0000-0200-00004F000000}"/>
    <hyperlink ref="G84" r:id="rId81" xr:uid="{00000000-0004-0000-0200-000050000000}"/>
    <hyperlink ref="G85" r:id="rId82" xr:uid="{00000000-0004-0000-0200-000051000000}"/>
    <hyperlink ref="G86" r:id="rId83" xr:uid="{00000000-0004-0000-0200-000052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8"/>
  <sheetViews>
    <sheetView tabSelected="1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F10" sqref="F10"/>
    </sheetView>
  </sheetViews>
  <sheetFormatPr defaultColWidth="8.7109375" defaultRowHeight="15" x14ac:dyDescent="0.25"/>
  <cols>
    <col min="1" max="2" width="6" customWidth="1"/>
    <col min="3" max="3" width="12" customWidth="1"/>
    <col min="4" max="4" width="40" customWidth="1"/>
    <col min="5" max="5" width="10" customWidth="1"/>
    <col min="6" max="7" width="13" customWidth="1"/>
    <col min="8" max="8" width="10" customWidth="1"/>
    <col min="9" max="9" width="44" customWidth="1"/>
    <col min="10" max="10" width="12" customWidth="1"/>
    <col min="11" max="11" width="50" customWidth="1"/>
  </cols>
  <sheetData>
    <row r="1" spans="1:11" ht="18" x14ac:dyDescent="0.25">
      <c r="A1" s="1" t="s">
        <v>397</v>
      </c>
    </row>
    <row r="2" spans="1:11" x14ac:dyDescent="0.25">
      <c r="A2" s="2" t="s">
        <v>398</v>
      </c>
    </row>
    <row r="3" spans="1:11" ht="25.5" x14ac:dyDescent="0.25">
      <c r="A3" s="14" t="s">
        <v>30</v>
      </c>
      <c r="B3" s="14" t="s">
        <v>31</v>
      </c>
      <c r="C3" s="14" t="s">
        <v>32</v>
      </c>
      <c r="D3" s="14" t="s">
        <v>33</v>
      </c>
      <c r="E3" s="14" t="s">
        <v>399</v>
      </c>
      <c r="F3" s="14" t="s">
        <v>400</v>
      </c>
      <c r="G3" s="14" t="s">
        <v>401</v>
      </c>
      <c r="H3" s="14" t="s">
        <v>402</v>
      </c>
      <c r="I3" s="14" t="s">
        <v>403</v>
      </c>
      <c r="J3" s="14" t="s">
        <v>404</v>
      </c>
      <c r="K3" s="14" t="s">
        <v>405</v>
      </c>
    </row>
    <row r="4" spans="1:11" ht="30" x14ac:dyDescent="0.25">
      <c r="A4" s="31">
        <f>'5-Week Plan'!A4</f>
        <v>1</v>
      </c>
      <c r="B4" s="31">
        <f>'5-Week Plan'!B4</f>
        <v>1</v>
      </c>
      <c r="C4" s="38">
        <f>'5-Week Plan'!C4</f>
        <v>46300</v>
      </c>
      <c r="D4" s="31" t="str">
        <f>'5-Week Plan'!D4</f>
        <v>Dev setup + Git &amp; GitHub</v>
      </c>
      <c r="E4" s="18">
        <f>Overview!$B$5</f>
        <v>3</v>
      </c>
      <c r="F4" s="39" t="s">
        <v>585</v>
      </c>
      <c r="G4" s="40">
        <v>46316.618055555555</v>
      </c>
      <c r="H4" s="39">
        <v>3</v>
      </c>
      <c r="I4" s="59" t="s">
        <v>583</v>
      </c>
      <c r="J4" s="39">
        <v>4</v>
      </c>
      <c r="K4" s="39" t="s">
        <v>584</v>
      </c>
    </row>
    <row r="5" spans="1:11" x14ac:dyDescent="0.25">
      <c r="A5" s="31">
        <f>'5-Week Plan'!A5</f>
        <v>2</v>
      </c>
      <c r="B5" s="31">
        <f>'5-Week Plan'!B5</f>
        <v>1</v>
      </c>
      <c r="C5" s="38">
        <f>'5-Week Plan'!C5</f>
        <v>46301</v>
      </c>
      <c r="D5" s="31" t="str">
        <f>'5-Week Plan'!D5</f>
        <v>Python core for testers</v>
      </c>
      <c r="E5" s="18">
        <f>Overview!$B$5</f>
        <v>3</v>
      </c>
      <c r="F5" s="39" t="s">
        <v>585</v>
      </c>
      <c r="G5" s="40">
        <v>46316.743750000001</v>
      </c>
      <c r="H5" s="39">
        <v>3</v>
      </c>
      <c r="I5" s="39" t="s">
        <v>585</v>
      </c>
      <c r="J5" s="39">
        <v>5</v>
      </c>
      <c r="K5" s="39" t="s">
        <v>584</v>
      </c>
    </row>
    <row r="6" spans="1:11" x14ac:dyDescent="0.25">
      <c r="A6" s="31">
        <f>'5-Week Plan'!A6</f>
        <v>3</v>
      </c>
      <c r="B6" s="31">
        <f>'5-Week Plan'!B6</f>
        <v>1</v>
      </c>
      <c r="C6" s="38">
        <f>'5-Week Plan'!C6</f>
        <v>46302</v>
      </c>
      <c r="D6" s="31" t="str">
        <f>'5-Week Plan'!D6</f>
        <v>Python OOP, files, JSON/CSV</v>
      </c>
      <c r="E6" s="18">
        <f>Overview!$B$5</f>
        <v>3</v>
      </c>
      <c r="F6" s="39" t="s">
        <v>585</v>
      </c>
      <c r="G6" s="40">
        <v>46317.663194444445</v>
      </c>
      <c r="H6" s="39">
        <v>1</v>
      </c>
      <c r="I6" s="39" t="s">
        <v>585</v>
      </c>
      <c r="J6" s="39">
        <v>4</v>
      </c>
      <c r="K6" s="39" t="s">
        <v>584</v>
      </c>
    </row>
    <row r="7" spans="1:11" x14ac:dyDescent="0.25">
      <c r="A7" s="31">
        <f>'5-Week Plan'!A7</f>
        <v>4</v>
      </c>
      <c r="B7" s="31">
        <f>'5-Week Plan'!B7</f>
        <v>1</v>
      </c>
      <c r="C7" s="38">
        <f>'5-Week Plan'!C7</f>
        <v>46303</v>
      </c>
      <c r="D7" s="31" t="str">
        <f>'5-Week Plan'!D7</f>
        <v>SQL for testers</v>
      </c>
      <c r="E7" s="18">
        <f>Overview!$B$5</f>
        <v>3</v>
      </c>
      <c r="F7" s="39" t="s">
        <v>585</v>
      </c>
      <c r="G7" s="40">
        <v>46317.663194444445</v>
      </c>
      <c r="H7" s="39">
        <v>2.5</v>
      </c>
      <c r="I7" s="39" t="s">
        <v>585</v>
      </c>
      <c r="J7" s="39">
        <v>4</v>
      </c>
      <c r="K7" s="39" t="s">
        <v>584</v>
      </c>
    </row>
    <row r="8" spans="1:11" x14ac:dyDescent="0.25">
      <c r="A8" s="31">
        <f>'5-Week Plan'!A8</f>
        <v>5</v>
      </c>
      <c r="B8" s="31">
        <f>'5-Week Plan'!B8</f>
        <v>1</v>
      </c>
      <c r="C8" s="38">
        <f>'5-Week Plan'!C8</f>
        <v>46304</v>
      </c>
      <c r="D8" s="31" t="str">
        <f>'5-Week Plan'!D8</f>
        <v>HTTP/REST + Postman</v>
      </c>
      <c r="E8" s="18">
        <f>Overview!$B$5</f>
        <v>3</v>
      </c>
      <c r="F8" s="39" t="s">
        <v>585</v>
      </c>
      <c r="G8" s="40">
        <v>46318.663194444445</v>
      </c>
      <c r="H8" s="39">
        <v>2</v>
      </c>
      <c r="I8" s="39" t="s">
        <v>585</v>
      </c>
      <c r="J8" s="39">
        <v>4</v>
      </c>
      <c r="K8" s="39" t="s">
        <v>584</v>
      </c>
    </row>
    <row r="9" spans="1:11" x14ac:dyDescent="0.25">
      <c r="A9" s="34">
        <f>'5-Week Plan'!A9</f>
        <v>6</v>
      </c>
      <c r="B9" s="34">
        <f>'5-Week Plan'!B9</f>
        <v>2</v>
      </c>
      <c r="C9" s="41">
        <f>'5-Week Plan'!C9</f>
        <v>46307</v>
      </c>
      <c r="D9" s="34" t="str">
        <f>'5-Week Plan'!D9</f>
        <v>API automation: Python requests + pytest</v>
      </c>
      <c r="E9" s="18">
        <f>Overview!$B$5</f>
        <v>3</v>
      </c>
      <c r="F9" s="39" t="s">
        <v>585</v>
      </c>
      <c r="G9" s="40">
        <v>46318.663194444445</v>
      </c>
      <c r="H9" s="39">
        <v>2.5</v>
      </c>
      <c r="I9" s="39" t="s">
        <v>585</v>
      </c>
      <c r="J9" s="39">
        <v>5</v>
      </c>
      <c r="K9" s="39" t="s">
        <v>584</v>
      </c>
    </row>
    <row r="10" spans="1:11" x14ac:dyDescent="0.25">
      <c r="A10" s="34">
        <f>'5-Week Plan'!A10</f>
        <v>7</v>
      </c>
      <c r="B10" s="34">
        <f>'5-Week Plan'!B10</f>
        <v>2</v>
      </c>
      <c r="C10" s="41">
        <f>'5-Week Plan'!C10</f>
        <v>46308</v>
      </c>
      <c r="D10" s="34" t="str">
        <f>'5-Week Plan'!D10</f>
        <v>pytest advanced + data-driven</v>
      </c>
      <c r="E10" s="18">
        <f>Overview!$B$5</f>
        <v>3</v>
      </c>
      <c r="F10" s="39" t="s">
        <v>586</v>
      </c>
      <c r="G10" s="40">
        <v>46321.579861111109</v>
      </c>
      <c r="H10" s="39"/>
      <c r="I10" s="39"/>
      <c r="J10" s="39"/>
      <c r="K10" s="39"/>
    </row>
    <row r="11" spans="1:11" x14ac:dyDescent="0.25">
      <c r="A11" s="34">
        <f>'5-Week Plan'!A11</f>
        <v>8</v>
      </c>
      <c r="B11" s="34">
        <f>'5-Week Plan'!B11</f>
        <v>2</v>
      </c>
      <c r="C11" s="41">
        <f>'5-Week Plan'!C11</f>
        <v>46309</v>
      </c>
      <c r="D11" s="34" t="str">
        <f>'5-Week Plan'!D11</f>
        <v>Playwright basics</v>
      </c>
      <c r="E11" s="18">
        <f>Overview!$B$5</f>
        <v>3</v>
      </c>
      <c r="F11" s="39" t="s">
        <v>406</v>
      </c>
      <c r="G11" s="40"/>
      <c r="H11" s="39"/>
      <c r="I11" s="39"/>
      <c r="J11" s="39"/>
      <c r="K11" s="39"/>
    </row>
    <row r="12" spans="1:11" x14ac:dyDescent="0.25">
      <c r="A12" s="34">
        <f>'5-Week Plan'!A12</f>
        <v>9</v>
      </c>
      <c r="B12" s="34">
        <f>'5-Week Plan'!B12</f>
        <v>2</v>
      </c>
      <c r="C12" s="41">
        <f>'5-Week Plan'!C12</f>
        <v>46310</v>
      </c>
      <c r="D12" s="34" t="str">
        <f>'5-Week Plan'!D12</f>
        <v>Playwright framework design</v>
      </c>
      <c r="E12" s="18">
        <f>Overview!$B$5</f>
        <v>3</v>
      </c>
      <c r="F12" s="39" t="s">
        <v>406</v>
      </c>
      <c r="G12" s="40"/>
      <c r="H12" s="39"/>
      <c r="I12" s="39"/>
      <c r="J12" s="39"/>
      <c r="K12" s="39"/>
    </row>
    <row r="13" spans="1:11" x14ac:dyDescent="0.25">
      <c r="A13" s="34">
        <f>'5-Week Plan'!A13</f>
        <v>10</v>
      </c>
      <c r="B13" s="34">
        <f>'5-Week Plan'!B13</f>
        <v>2</v>
      </c>
      <c r="C13" s="41">
        <f>'5-Week Plan'!C13</f>
        <v>46311</v>
      </c>
      <c r="D13" s="34" t="str">
        <f>'5-Week Plan'!D13</f>
        <v>CI/CD with GitHub Actions  [MILESTONE]</v>
      </c>
      <c r="E13" s="18">
        <f>Overview!$B$5</f>
        <v>3</v>
      </c>
      <c r="F13" s="39" t="s">
        <v>406</v>
      </c>
      <c r="G13" s="40"/>
      <c r="H13" s="39"/>
      <c r="I13" s="39"/>
      <c r="J13" s="39"/>
      <c r="K13" s="39"/>
    </row>
    <row r="14" spans="1:11" x14ac:dyDescent="0.25">
      <c r="A14" s="35">
        <f>'5-Week Plan'!A14</f>
        <v>11</v>
      </c>
      <c r="B14" s="35">
        <f>'5-Week Plan'!B14</f>
        <v>3</v>
      </c>
      <c r="C14" s="42">
        <f>'5-Week Plan'!C14</f>
        <v>46314</v>
      </c>
      <c r="D14" s="35" t="str">
        <f>'5-Week Plan'!D14</f>
        <v>Prompting for test design</v>
      </c>
      <c r="E14" s="18">
        <f>Overview!$B$5</f>
        <v>3</v>
      </c>
      <c r="F14" s="39" t="s">
        <v>406</v>
      </c>
      <c r="G14" s="40"/>
      <c r="H14" s="39"/>
      <c r="I14" s="39"/>
      <c r="J14" s="39"/>
      <c r="K14" s="39"/>
    </row>
    <row r="15" spans="1:11" x14ac:dyDescent="0.25">
      <c r="A15" s="35">
        <f>'5-Week Plan'!A15</f>
        <v>12</v>
      </c>
      <c r="B15" s="35">
        <f>'5-Week Plan'!B15</f>
        <v>3</v>
      </c>
      <c r="C15" s="42">
        <f>'5-Week Plan'!C15</f>
        <v>46315</v>
      </c>
      <c r="D15" s="35" t="str">
        <f>'5-Week Plan'!D15</f>
        <v>Advanced AI test design</v>
      </c>
      <c r="E15" s="18">
        <f>Overview!$B$5</f>
        <v>3</v>
      </c>
      <c r="F15" s="39" t="s">
        <v>406</v>
      </c>
      <c r="G15" s="40"/>
      <c r="H15" s="39"/>
      <c r="I15" s="39"/>
      <c r="J15" s="39"/>
      <c r="K15" s="39"/>
    </row>
    <row r="16" spans="1:11" x14ac:dyDescent="0.25">
      <c r="A16" s="35">
        <f>'5-Week Plan'!A16</f>
        <v>13</v>
      </c>
      <c r="B16" s="35">
        <f>'5-Week Plan'!B16</f>
        <v>3</v>
      </c>
      <c r="C16" s="42">
        <f>'5-Week Plan'!C16</f>
        <v>46316</v>
      </c>
      <c r="D16" s="35" t="str">
        <f>'5-Week Plan'!D16</f>
        <v>Coding assistants: Copilot &amp; Claude Code</v>
      </c>
      <c r="E16" s="18">
        <f>Overview!$B$5</f>
        <v>3</v>
      </c>
      <c r="F16" s="39" t="s">
        <v>406</v>
      </c>
      <c r="G16" s="40"/>
      <c r="H16" s="39"/>
      <c r="I16" s="39"/>
      <c r="J16" s="39"/>
      <c r="K16" s="39"/>
    </row>
    <row r="17" spans="1:11" x14ac:dyDescent="0.25">
      <c r="A17" s="35">
        <f>'5-Week Plan'!A17</f>
        <v>14</v>
      </c>
      <c r="B17" s="35">
        <f>'5-Week Plan'!B17</f>
        <v>3</v>
      </c>
      <c r="C17" s="42">
        <f>'5-Week Plan'!C17</f>
        <v>46317</v>
      </c>
      <c r="D17" s="35" t="str">
        <f>'5-Week Plan'!D17</f>
        <v>Skills, agents, slash commands</v>
      </c>
      <c r="E17" s="18">
        <f>Overview!$B$5</f>
        <v>3</v>
      </c>
      <c r="F17" s="39" t="s">
        <v>406</v>
      </c>
      <c r="G17" s="40"/>
      <c r="H17" s="39"/>
      <c r="I17" s="39"/>
      <c r="J17" s="39"/>
      <c r="K17" s="39"/>
    </row>
    <row r="18" spans="1:11" x14ac:dyDescent="0.25">
      <c r="A18" s="35">
        <f>'5-Week Plan'!A18</f>
        <v>15</v>
      </c>
      <c r="B18" s="35">
        <f>'5-Week Plan'!B18</f>
        <v>3</v>
      </c>
      <c r="C18" s="42">
        <f>'5-Week Plan'!C18</f>
        <v>46318</v>
      </c>
      <c r="D18" s="35" t="str">
        <f>'5-Week Plan'!D18</f>
        <v>AI-powered testing tools &amp; self-healing</v>
      </c>
      <c r="E18" s="18">
        <f>Overview!$B$5</f>
        <v>3</v>
      </c>
      <c r="F18" s="39" t="s">
        <v>406</v>
      </c>
      <c r="G18" s="40"/>
      <c r="H18" s="39"/>
      <c r="I18" s="39"/>
      <c r="J18" s="39"/>
      <c r="K18" s="39"/>
    </row>
    <row r="19" spans="1:11" x14ac:dyDescent="0.25">
      <c r="A19" s="36">
        <f>'5-Week Plan'!A19</f>
        <v>16</v>
      </c>
      <c r="B19" s="36">
        <f>'5-Week Plan'!B19</f>
        <v>4</v>
      </c>
      <c r="C19" s="43">
        <f>'5-Week Plan'!C19</f>
        <v>46321</v>
      </c>
      <c r="D19" s="36" t="str">
        <f>'5-Week Plan'!D19</f>
        <v>MCP fundamentals + Playwright MCP</v>
      </c>
      <c r="E19" s="18">
        <f>Overview!$B$5</f>
        <v>3</v>
      </c>
      <c r="F19" s="39" t="s">
        <v>406</v>
      </c>
      <c r="G19" s="40"/>
      <c r="H19" s="39"/>
      <c r="I19" s="39"/>
      <c r="J19" s="39"/>
      <c r="K19" s="39"/>
    </row>
    <row r="20" spans="1:11" x14ac:dyDescent="0.25">
      <c r="A20" s="36">
        <f>'5-Week Plan'!A20</f>
        <v>17</v>
      </c>
      <c r="B20" s="36">
        <f>'5-Week Plan'!B20</f>
        <v>4</v>
      </c>
      <c r="C20" s="43">
        <f>'5-Week Plan'!C20</f>
        <v>46322</v>
      </c>
      <c r="D20" s="36" t="str">
        <f>'5-Week Plan'!D20</f>
        <v>Read stories &amp; PRs via MCP (GitHub/Jira)</v>
      </c>
      <c r="E20" s="18">
        <f>Overview!$B$5</f>
        <v>3</v>
      </c>
      <c r="F20" s="39" t="s">
        <v>406</v>
      </c>
      <c r="G20" s="40"/>
      <c r="H20" s="39"/>
      <c r="I20" s="39"/>
      <c r="J20" s="39"/>
      <c r="K20" s="39"/>
    </row>
    <row r="21" spans="1:11" x14ac:dyDescent="0.25">
      <c r="A21" s="36">
        <f>'5-Week Plan'!A21</f>
        <v>18</v>
      </c>
      <c r="B21" s="36">
        <f>'5-Week Plan'!B21</f>
        <v>4</v>
      </c>
      <c r="C21" s="43">
        <f>'5-Week Plan'!C21</f>
        <v>46323</v>
      </c>
      <c r="D21" s="36" t="str">
        <f>'5-Week Plan'!D21</f>
        <v>Write test cases to Confluence</v>
      </c>
      <c r="E21" s="18">
        <f>Overview!$B$5</f>
        <v>3</v>
      </c>
      <c r="F21" s="39" t="s">
        <v>406</v>
      </c>
      <c r="G21" s="40"/>
      <c r="H21" s="39"/>
      <c r="I21" s="39"/>
      <c r="J21" s="39"/>
      <c r="K21" s="39"/>
    </row>
    <row r="22" spans="1:11" x14ac:dyDescent="0.25">
      <c r="A22" s="36">
        <f>'5-Week Plan'!A22</f>
        <v>19</v>
      </c>
      <c r="B22" s="36">
        <f>'5-Week Plan'!B22</f>
        <v>4</v>
      </c>
      <c r="C22" s="43">
        <f>'5-Week Plan'!C22</f>
        <v>46324</v>
      </c>
      <c r="D22" s="36" t="str">
        <f>'5-Week Plan'!D22</f>
        <v>Test case -&gt; automation -&gt; bug</v>
      </c>
      <c r="E22" s="18">
        <f>Overview!$B$5</f>
        <v>3</v>
      </c>
      <c r="F22" s="39" t="s">
        <v>406</v>
      </c>
      <c r="G22" s="40"/>
      <c r="H22" s="39"/>
      <c r="I22" s="39"/>
      <c r="J22" s="39"/>
      <c r="K22" s="39"/>
    </row>
    <row r="23" spans="1:11" x14ac:dyDescent="0.25">
      <c r="A23" s="36">
        <f>'5-Week Plan'!A23</f>
        <v>20</v>
      </c>
      <c r="B23" s="36">
        <f>'5-Week Plan'!B23</f>
        <v>4</v>
      </c>
      <c r="C23" s="43">
        <f>'5-Week Plan'!C23</f>
        <v>46325</v>
      </c>
      <c r="D23" s="36" t="str">
        <f>'5-Week Plan'!D23</f>
        <v>Build your own MCP server  + week review</v>
      </c>
      <c r="E23" s="18">
        <f>Overview!$B$5</f>
        <v>3</v>
      </c>
      <c r="F23" s="39" t="s">
        <v>406</v>
      </c>
      <c r="G23" s="40"/>
      <c r="H23" s="39"/>
      <c r="I23" s="39"/>
      <c r="J23" s="39"/>
      <c r="K23" s="39"/>
    </row>
    <row r="24" spans="1:11" x14ac:dyDescent="0.25">
      <c r="A24" s="37">
        <f>'5-Week Plan'!A24</f>
        <v>21</v>
      </c>
      <c r="B24" s="37">
        <f>'5-Week Plan'!B24</f>
        <v>5</v>
      </c>
      <c r="C24" s="44">
        <f>'5-Week Plan'!C24</f>
        <v>46328</v>
      </c>
      <c r="D24" s="37" t="str">
        <f>'5-Week Plan'!D24</f>
        <v>How LLMs work + failure modes</v>
      </c>
      <c r="E24" s="18">
        <f>Overview!$B$5</f>
        <v>3</v>
      </c>
      <c r="F24" s="39" t="s">
        <v>406</v>
      </c>
      <c r="G24" s="40"/>
      <c r="H24" s="39"/>
      <c r="I24" s="39"/>
      <c r="J24" s="39"/>
      <c r="K24" s="39"/>
    </row>
    <row r="25" spans="1:11" x14ac:dyDescent="0.25">
      <c r="A25" s="37">
        <f>'5-Week Plan'!A25</f>
        <v>22</v>
      </c>
      <c r="B25" s="37">
        <f>'5-Week Plan'!B25</f>
        <v>5</v>
      </c>
      <c r="C25" s="44">
        <f>'5-Week Plan'!C25</f>
        <v>46329</v>
      </c>
      <c r="D25" s="37" t="str">
        <f>'5-Week Plan'!D25</f>
        <v>Evaluation: golden datasets</v>
      </c>
      <c r="E25" s="18">
        <f>Overview!$B$5</f>
        <v>3</v>
      </c>
      <c r="F25" s="39" t="s">
        <v>406</v>
      </c>
      <c r="G25" s="40"/>
      <c r="H25" s="39"/>
      <c r="I25" s="39"/>
      <c r="J25" s="39"/>
      <c r="K25" s="39"/>
    </row>
    <row r="26" spans="1:11" x14ac:dyDescent="0.25">
      <c r="A26" s="37">
        <f>'5-Week Plan'!A26</f>
        <v>23</v>
      </c>
      <c r="B26" s="37">
        <f>'5-Week Plan'!B26</f>
        <v>5</v>
      </c>
      <c r="C26" s="44">
        <f>'5-Week Plan'!C26</f>
        <v>46330</v>
      </c>
      <c r="D26" s="37" t="str">
        <f>'5-Week Plan'!D26</f>
        <v>Prompt injection, jailbreaks, data leakage</v>
      </c>
      <c r="E26" s="18">
        <f>Overview!$B$5</f>
        <v>3</v>
      </c>
      <c r="F26" s="39" t="s">
        <v>406</v>
      </c>
      <c r="G26" s="40"/>
      <c r="H26" s="39"/>
      <c r="I26" s="39"/>
      <c r="J26" s="39"/>
      <c r="K26" s="39"/>
    </row>
    <row r="27" spans="1:11" x14ac:dyDescent="0.25">
      <c r="A27" s="37">
        <f>'5-Week Plan'!A27</f>
        <v>24</v>
      </c>
      <c r="B27" s="37">
        <f>'5-Week Plan'!B27</f>
        <v>5</v>
      </c>
      <c r="C27" s="44">
        <f>'5-Week Plan'!C27</f>
        <v>46331</v>
      </c>
      <c r="D27" s="37" t="str">
        <f>'5-Week Plan'!D27</f>
        <v>Capstone integration</v>
      </c>
      <c r="E27" s="18">
        <f>Overview!$B$5</f>
        <v>3</v>
      </c>
      <c r="F27" s="39" t="s">
        <v>406</v>
      </c>
      <c r="G27" s="40"/>
      <c r="H27" s="39"/>
      <c r="I27" s="39"/>
      <c r="J27" s="39"/>
      <c r="K27" s="39"/>
    </row>
    <row r="28" spans="1:11" x14ac:dyDescent="0.25">
      <c r="A28" s="37">
        <f>'5-Week Plan'!A28</f>
        <v>25</v>
      </c>
      <c r="B28" s="37">
        <f>'5-Week Plan'!B28</f>
        <v>5</v>
      </c>
      <c r="C28" s="44">
        <f>'5-Week Plan'!C28</f>
        <v>46332</v>
      </c>
      <c r="D28" s="37" t="str">
        <f>'5-Week Plan'!D28</f>
        <v>Ship &amp; showcase  [MILESTONE]</v>
      </c>
      <c r="E28" s="18">
        <f>Overview!$B$5</f>
        <v>3</v>
      </c>
      <c r="F28" s="39" t="s">
        <v>406</v>
      </c>
      <c r="G28" s="40"/>
      <c r="H28" s="39"/>
      <c r="I28" s="39"/>
      <c r="J28" s="39"/>
      <c r="K28" s="39"/>
    </row>
  </sheetData>
  <conditionalFormatting sqref="F4:F28">
    <cfRule type="cellIs" dxfId="3" priority="2" operator="equal">
      <formula>"Done"</formula>
    </cfRule>
    <cfRule type="cellIs" dxfId="2" priority="3" operator="equal">
      <formula>"In Progress"</formula>
    </cfRule>
    <cfRule type="cellIs" dxfId="1" priority="4" operator="equal">
      <formula>"Blocked"</formula>
    </cfRule>
  </conditionalFormatting>
  <dataValidations count="2">
    <dataValidation type="list" sqref="F4:F28" xr:uid="{00000000-0002-0000-0300-000000000000}">
      <formula1>"Not Started,In Progress,Done,Blocked"</formula1>
      <formula2>0</formula2>
    </dataValidation>
    <dataValidation type="whole" allowBlank="1" sqref="J4:J28" xr:uid="{00000000-0002-0000-0300-000001000000}">
      <formula1>1</formula1>
      <formula2>5</formula2>
    </dataValidation>
  </dataValidations>
  <hyperlinks>
    <hyperlink ref="I4" r:id="rId1" xr:uid="{5A6B42F1-F0BA-4C59-9D20-8F3C05180D92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zoomScaleNormal="100" workbookViewId="0">
      <selection activeCell="B5" sqref="B5"/>
    </sheetView>
  </sheetViews>
  <sheetFormatPr defaultColWidth="8.7109375" defaultRowHeight="15" x14ac:dyDescent="0.25"/>
  <cols>
    <col min="1" max="1" width="46" customWidth="1"/>
    <col min="2" max="2" width="13" customWidth="1"/>
    <col min="3" max="3" width="11" customWidth="1"/>
    <col min="4" max="4" width="13" customWidth="1"/>
    <col min="5" max="5" width="12" customWidth="1"/>
    <col min="6" max="6" width="11" customWidth="1"/>
    <col min="7" max="7" width="13" customWidth="1"/>
  </cols>
  <sheetData>
    <row r="1" spans="1:7" ht="18" x14ac:dyDescent="0.25">
      <c r="A1" s="1" t="s">
        <v>407</v>
      </c>
    </row>
    <row r="2" spans="1:7" x14ac:dyDescent="0.25">
      <c r="A2" s="2" t="s">
        <v>408</v>
      </c>
    </row>
    <row r="3" spans="1:7" ht="25.5" x14ac:dyDescent="0.25">
      <c r="A3" s="14" t="s">
        <v>31</v>
      </c>
      <c r="B3" s="14" t="s">
        <v>409</v>
      </c>
      <c r="C3" s="14" t="s">
        <v>410</v>
      </c>
      <c r="D3" s="14" t="s">
        <v>411</v>
      </c>
      <c r="E3" s="14" t="s">
        <v>399</v>
      </c>
      <c r="F3" s="14" t="s">
        <v>402</v>
      </c>
      <c r="G3" s="14" t="s">
        <v>412</v>
      </c>
    </row>
    <row r="4" spans="1:7" x14ac:dyDescent="0.25">
      <c r="A4" s="45" t="s">
        <v>23</v>
      </c>
      <c r="B4" s="46">
        <f>COUNTIF(Tracker!$B$4:$B$28,1)</f>
        <v>5</v>
      </c>
      <c r="C4" s="46">
        <f>COUNTIFS(Tracker!$B$4:$B$28,1,Tracker!$F$4:$F$28,"Done")</f>
        <v>5</v>
      </c>
      <c r="D4" s="47">
        <f>IF(B4=0,0,C4/B4)</f>
        <v>1</v>
      </c>
      <c r="E4" s="46">
        <f>SUMIF(Tracker!$B$4:$B$28,1,Tracker!$E$4:$E$28)</f>
        <v>15</v>
      </c>
      <c r="F4" s="46">
        <f>SUMIF(Tracker!$B$4:$B$28,1,Tracker!$H$4:$H$28)</f>
        <v>11.5</v>
      </c>
      <c r="G4" s="46">
        <f>COUNTIFS(Tracker!$B$4:$B$28,1,Tracker!$F$4:$F$28,"Blocked")</f>
        <v>0</v>
      </c>
    </row>
    <row r="5" spans="1:7" x14ac:dyDescent="0.25">
      <c r="A5" s="48" t="s">
        <v>24</v>
      </c>
      <c r="B5" s="46">
        <f>COUNTIF(Tracker!$B$4:$B$28,2)</f>
        <v>5</v>
      </c>
      <c r="C5" s="46">
        <f>COUNTIFS(Tracker!$B$4:$B$28,2,Tracker!$F$4:$F$28,"Done")</f>
        <v>1</v>
      </c>
      <c r="D5" s="47">
        <f>IF(B5=0,0,C5/B5)</f>
        <v>0.2</v>
      </c>
      <c r="E5" s="46">
        <f>SUMIF(Tracker!$B$4:$B$28,2,Tracker!$E$4:$E$28)</f>
        <v>15</v>
      </c>
      <c r="F5" s="46">
        <f>SUMIF(Tracker!$B$4:$B$28,2,Tracker!$H$4:$H$28)</f>
        <v>2.5</v>
      </c>
      <c r="G5" s="46">
        <f>COUNTIFS(Tracker!$B$4:$B$28,2,Tracker!$F$4:$F$28,"Blocked")</f>
        <v>0</v>
      </c>
    </row>
    <row r="6" spans="1:7" x14ac:dyDescent="0.25">
      <c r="A6" s="49" t="s">
        <v>25</v>
      </c>
      <c r="B6" s="46">
        <f>COUNTIF(Tracker!$B$4:$B$28,3)</f>
        <v>5</v>
      </c>
      <c r="C6" s="46">
        <f>COUNTIFS(Tracker!$B$4:$B$28,3,Tracker!$F$4:$F$28,"Done")</f>
        <v>0</v>
      </c>
      <c r="D6" s="47">
        <f>IF(B6=0,0,C6/B6)</f>
        <v>0</v>
      </c>
      <c r="E6" s="46">
        <f>SUMIF(Tracker!$B$4:$B$28,3,Tracker!$E$4:$E$28)</f>
        <v>15</v>
      </c>
      <c r="F6" s="46">
        <f>SUMIF(Tracker!$B$4:$B$28,3,Tracker!$H$4:$H$28)</f>
        <v>0</v>
      </c>
      <c r="G6" s="46">
        <f>COUNTIFS(Tracker!$B$4:$B$28,3,Tracker!$F$4:$F$28,"Blocked")</f>
        <v>0</v>
      </c>
    </row>
    <row r="7" spans="1:7" x14ac:dyDescent="0.25">
      <c r="A7" s="50" t="s">
        <v>26</v>
      </c>
      <c r="B7" s="46">
        <f>COUNTIF(Tracker!$B$4:$B$28,4)</f>
        <v>5</v>
      </c>
      <c r="C7" s="46">
        <f>COUNTIFS(Tracker!$B$4:$B$28,4,Tracker!$F$4:$F$28,"Done")</f>
        <v>0</v>
      </c>
      <c r="D7" s="47">
        <f>IF(B7=0,0,C7/B7)</f>
        <v>0</v>
      </c>
      <c r="E7" s="46">
        <f>SUMIF(Tracker!$B$4:$B$28,4,Tracker!$E$4:$E$28)</f>
        <v>15</v>
      </c>
      <c r="F7" s="46">
        <f>SUMIF(Tracker!$B$4:$B$28,4,Tracker!$H$4:$H$28)</f>
        <v>0</v>
      </c>
      <c r="G7" s="46">
        <f>COUNTIFS(Tracker!$B$4:$B$28,4,Tracker!$F$4:$F$28,"Blocked")</f>
        <v>0</v>
      </c>
    </row>
    <row r="8" spans="1:7" x14ac:dyDescent="0.25">
      <c r="A8" s="51" t="s">
        <v>27</v>
      </c>
      <c r="B8" s="46">
        <f>COUNTIF(Tracker!$B$4:$B$28,5)</f>
        <v>5</v>
      </c>
      <c r="C8" s="46">
        <f>COUNTIFS(Tracker!$B$4:$B$28,5,Tracker!$F$4:$F$28,"Done")</f>
        <v>0</v>
      </c>
      <c r="D8" s="47">
        <f>IF(B8=0,0,C8/B8)</f>
        <v>0</v>
      </c>
      <c r="E8" s="46">
        <f>SUMIF(Tracker!$B$4:$B$28,5,Tracker!$E$4:$E$28)</f>
        <v>15</v>
      </c>
      <c r="F8" s="46">
        <f>SUMIF(Tracker!$B$4:$B$28,5,Tracker!$H$4:$H$28)</f>
        <v>0</v>
      </c>
      <c r="G8" s="46">
        <f>COUNTIFS(Tracker!$B$4:$B$28,5,Tracker!$F$4:$F$28,"Blocked")</f>
        <v>0</v>
      </c>
    </row>
    <row r="9" spans="1:7" x14ac:dyDescent="0.25">
      <c r="A9" s="52" t="s">
        <v>413</v>
      </c>
    </row>
    <row r="10" spans="1:7" x14ac:dyDescent="0.25">
      <c r="A10" s="53" t="s">
        <v>414</v>
      </c>
      <c r="B10" s="53">
        <f>SUM(B4:B8)</f>
        <v>25</v>
      </c>
      <c r="C10" s="53">
        <f>SUM(C4:C8)</f>
        <v>6</v>
      </c>
      <c r="D10" s="54">
        <f>IF(B10=0,0,C10/B10)</f>
        <v>0.24</v>
      </c>
      <c r="E10" s="53">
        <f>SUM(E4:E8)</f>
        <v>75</v>
      </c>
      <c r="F10" s="53">
        <f>SUM(F4:F8)</f>
        <v>14</v>
      </c>
      <c r="G10" s="53">
        <f>SUM(G4:G8)</f>
        <v>0</v>
      </c>
    </row>
    <row r="12" spans="1:7" x14ac:dyDescent="0.25">
      <c r="A12" s="3" t="s">
        <v>415</v>
      </c>
      <c r="D12" s="3">
        <f ca="1">COUNTIFS(Tracker!$C$4:$C$28,"&lt;"&amp;TODAY(),Tracker!$F$4:$F$28,"&lt;&gt;Done")</f>
        <v>9</v>
      </c>
    </row>
    <row r="13" spans="1:7" x14ac:dyDescent="0.25">
      <c r="A13" s="3" t="s">
        <v>416</v>
      </c>
      <c r="D13" s="55">
        <f>IFERROR(AVERAGEIF(Tracker!$J$4:$J$28,"&gt;0"),0)</f>
        <v>4.333333333333333</v>
      </c>
    </row>
    <row r="14" spans="1:7" x14ac:dyDescent="0.25">
      <c r="A14" s="3" t="s">
        <v>417</v>
      </c>
      <c r="D14" s="55">
        <f>F10-SUMIF(Tracker!$H$4:$H$28,"&gt;0",Tracker!$E$4:$E$28)</f>
        <v>-4</v>
      </c>
    </row>
    <row r="16" spans="1:7" x14ac:dyDescent="0.25">
      <c r="A16" s="56" t="s">
        <v>418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4"/>
  <sheetViews>
    <sheetView zoomScaleNormal="100" workbookViewId="0">
      <pane xSplit="2" ySplit="3" topLeftCell="C7" activePane="bottomRight" state="frozen"/>
      <selection pane="topRight" activeCell="C1" sqref="C1"/>
      <selection pane="bottomLeft" activeCell="A4" sqref="A4"/>
      <selection pane="bottomRight" activeCell="C6" sqref="C6"/>
    </sheetView>
  </sheetViews>
  <sheetFormatPr defaultColWidth="8.7109375" defaultRowHeight="15" x14ac:dyDescent="0.25"/>
  <cols>
    <col min="1" max="1" width="15.42578125" customWidth="1"/>
    <col min="2" max="2" width="24" customWidth="1"/>
    <col min="3" max="3" width="44" customWidth="1"/>
    <col min="4" max="4" width="22" customWidth="1"/>
    <col min="5" max="5" width="24" customWidth="1"/>
    <col min="6" max="7" width="34" customWidth="1"/>
    <col min="8" max="8" width="9" customWidth="1"/>
    <col min="9" max="9" width="44" customWidth="1"/>
  </cols>
  <sheetData>
    <row r="1" spans="1:9" ht="18" x14ac:dyDescent="0.25">
      <c r="A1" s="1" t="s">
        <v>419</v>
      </c>
    </row>
    <row r="2" spans="1:9" x14ac:dyDescent="0.25">
      <c r="A2" s="2" t="s">
        <v>420</v>
      </c>
    </row>
    <row r="3" spans="1:9" x14ac:dyDescent="0.25">
      <c r="A3" s="14" t="s">
        <v>421</v>
      </c>
      <c r="B3" s="14" t="s">
        <v>422</v>
      </c>
      <c r="C3" s="14" t="s">
        <v>423</v>
      </c>
      <c r="D3" s="14" t="s">
        <v>424</v>
      </c>
      <c r="E3" s="14" t="s">
        <v>425</v>
      </c>
      <c r="F3" s="14" t="s">
        <v>426</v>
      </c>
      <c r="G3" s="14" t="s">
        <v>427</v>
      </c>
      <c r="H3" s="14" t="s">
        <v>428</v>
      </c>
      <c r="I3" s="14" t="s">
        <v>429</v>
      </c>
    </row>
    <row r="4" spans="1:9" ht="78" customHeight="1" x14ac:dyDescent="0.25">
      <c r="A4" s="18">
        <v>1</v>
      </c>
      <c r="B4" s="32" t="s">
        <v>430</v>
      </c>
      <c r="C4" s="18" t="s">
        <v>431</v>
      </c>
      <c r="D4" s="18" t="s">
        <v>432</v>
      </c>
      <c r="E4" s="18" t="s">
        <v>433</v>
      </c>
      <c r="F4" s="18" t="s">
        <v>434</v>
      </c>
      <c r="G4" s="18" t="s">
        <v>435</v>
      </c>
      <c r="H4" s="18" t="s">
        <v>436</v>
      </c>
      <c r="I4" s="18" t="s">
        <v>437</v>
      </c>
    </row>
    <row r="5" spans="1:9" ht="78" customHeight="1" x14ac:dyDescent="0.25">
      <c r="A5" s="18">
        <v>2</v>
      </c>
      <c r="B5" s="32" t="s">
        <v>438</v>
      </c>
      <c r="C5" s="18" t="s">
        <v>439</v>
      </c>
      <c r="D5" s="18" t="s">
        <v>440</v>
      </c>
      <c r="E5" s="18" t="s">
        <v>441</v>
      </c>
      <c r="F5" s="18" t="s">
        <v>442</v>
      </c>
      <c r="G5" s="18" t="s">
        <v>443</v>
      </c>
      <c r="H5" s="18" t="s">
        <v>444</v>
      </c>
      <c r="I5" s="18" t="s">
        <v>445</v>
      </c>
    </row>
    <row r="6" spans="1:9" ht="78" customHeight="1" x14ac:dyDescent="0.25">
      <c r="A6" s="18">
        <v>3</v>
      </c>
      <c r="B6" s="32" t="s">
        <v>446</v>
      </c>
      <c r="C6" s="18" t="s">
        <v>447</v>
      </c>
      <c r="D6" s="18" t="s">
        <v>448</v>
      </c>
      <c r="E6" s="18" t="s">
        <v>449</v>
      </c>
      <c r="F6" s="18" t="s">
        <v>450</v>
      </c>
      <c r="G6" s="18" t="s">
        <v>451</v>
      </c>
      <c r="H6" s="18" t="s">
        <v>444</v>
      </c>
      <c r="I6" s="18" t="s">
        <v>452</v>
      </c>
    </row>
    <row r="7" spans="1:9" ht="78" customHeight="1" x14ac:dyDescent="0.25">
      <c r="A7" s="18">
        <v>4</v>
      </c>
      <c r="B7" s="32" t="s">
        <v>453</v>
      </c>
      <c r="C7" s="18" t="s">
        <v>454</v>
      </c>
      <c r="D7" s="18" t="s">
        <v>455</v>
      </c>
      <c r="E7" s="18" t="s">
        <v>456</v>
      </c>
      <c r="F7" s="18" t="s">
        <v>457</v>
      </c>
      <c r="G7" s="18" t="s">
        <v>458</v>
      </c>
      <c r="H7" s="18" t="s">
        <v>459</v>
      </c>
      <c r="I7" s="18" t="s">
        <v>460</v>
      </c>
    </row>
    <row r="8" spans="1:9" ht="78" customHeight="1" x14ac:dyDescent="0.25">
      <c r="A8" s="18">
        <v>5</v>
      </c>
      <c r="B8" s="32" t="s">
        <v>461</v>
      </c>
      <c r="C8" s="18" t="s">
        <v>462</v>
      </c>
      <c r="D8" s="18" t="s">
        <v>463</v>
      </c>
      <c r="E8" s="18" t="s">
        <v>464</v>
      </c>
      <c r="F8" s="18" t="s">
        <v>465</v>
      </c>
      <c r="G8" s="18" t="s">
        <v>466</v>
      </c>
      <c r="H8" s="18" t="s">
        <v>459</v>
      </c>
      <c r="I8" s="18" t="s">
        <v>467</v>
      </c>
    </row>
    <row r="9" spans="1:9" ht="78" customHeight="1" x14ac:dyDescent="0.25">
      <c r="A9" s="18">
        <v>6</v>
      </c>
      <c r="B9" s="32" t="s">
        <v>468</v>
      </c>
      <c r="C9" s="18" t="s">
        <v>469</v>
      </c>
      <c r="D9" s="18" t="s">
        <v>470</v>
      </c>
      <c r="E9" s="18" t="s">
        <v>471</v>
      </c>
      <c r="F9" s="18" t="s">
        <v>472</v>
      </c>
      <c r="G9" s="18" t="s">
        <v>473</v>
      </c>
      <c r="H9" s="18" t="s">
        <v>474</v>
      </c>
      <c r="I9" s="18" t="s">
        <v>475</v>
      </c>
    </row>
    <row r="10" spans="1:9" ht="78" customHeight="1" x14ac:dyDescent="0.25">
      <c r="A10" s="18">
        <v>7</v>
      </c>
      <c r="B10" s="32" t="s">
        <v>476</v>
      </c>
      <c r="C10" s="18" t="s">
        <v>477</v>
      </c>
      <c r="D10" s="18" t="s">
        <v>478</v>
      </c>
      <c r="E10" s="18" t="s">
        <v>479</v>
      </c>
      <c r="F10" s="18" t="s">
        <v>480</v>
      </c>
      <c r="G10" s="18" t="s">
        <v>481</v>
      </c>
      <c r="H10" s="18" t="s">
        <v>459</v>
      </c>
      <c r="I10" s="18" t="s">
        <v>482</v>
      </c>
    </row>
    <row r="11" spans="1:9" ht="78" customHeight="1" x14ac:dyDescent="0.25">
      <c r="A11" s="18">
        <v>8</v>
      </c>
      <c r="B11" s="32" t="s">
        <v>483</v>
      </c>
      <c r="C11" s="18" t="s">
        <v>484</v>
      </c>
      <c r="D11" s="18" t="s">
        <v>485</v>
      </c>
      <c r="E11" s="18" t="s">
        <v>486</v>
      </c>
      <c r="F11" s="18" t="s">
        <v>487</v>
      </c>
      <c r="G11" s="18" t="s">
        <v>488</v>
      </c>
      <c r="H11" s="18" t="s">
        <v>489</v>
      </c>
      <c r="I11" s="18" t="s">
        <v>490</v>
      </c>
    </row>
    <row r="12" spans="1:9" ht="78" customHeight="1" x14ac:dyDescent="0.25">
      <c r="A12" s="18">
        <v>9</v>
      </c>
      <c r="B12" s="32" t="s">
        <v>491</v>
      </c>
      <c r="C12" s="18" t="s">
        <v>492</v>
      </c>
      <c r="D12" s="18" t="s">
        <v>493</v>
      </c>
      <c r="E12" s="18" t="s">
        <v>494</v>
      </c>
      <c r="F12" s="18" t="s">
        <v>495</v>
      </c>
      <c r="G12" s="18" t="s">
        <v>496</v>
      </c>
      <c r="H12" s="18" t="s">
        <v>489</v>
      </c>
      <c r="I12" s="18" t="s">
        <v>497</v>
      </c>
    </row>
    <row r="15" spans="1:9" x14ac:dyDescent="0.25">
      <c r="A15" s="3" t="s">
        <v>498</v>
      </c>
    </row>
    <row r="16" spans="1:9" x14ac:dyDescent="0.25">
      <c r="A16" s="8" t="s">
        <v>499</v>
      </c>
    </row>
    <row r="18" spans="1:1" x14ac:dyDescent="0.25">
      <c r="A18" s="3" t="s">
        <v>500</v>
      </c>
    </row>
    <row r="19" spans="1:1" x14ac:dyDescent="0.25">
      <c r="A19" s="8" t="s">
        <v>501</v>
      </c>
    </row>
    <row r="20" spans="1:1" x14ac:dyDescent="0.25">
      <c r="A20" s="8" t="s">
        <v>502</v>
      </c>
    </row>
    <row r="21" spans="1:1" x14ac:dyDescent="0.25">
      <c r="A21" s="8" t="s">
        <v>503</v>
      </c>
    </row>
    <row r="22" spans="1:1" x14ac:dyDescent="0.25">
      <c r="A22" s="8" t="s">
        <v>504</v>
      </c>
    </row>
    <row r="23" spans="1:1" x14ac:dyDescent="0.25">
      <c r="A23" s="8" t="s">
        <v>505</v>
      </c>
    </row>
    <row r="24" spans="1:1" x14ac:dyDescent="0.25">
      <c r="A24" s="8" t="s">
        <v>506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8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62" customWidth="1"/>
    <col min="3" max="3" width="14" customWidth="1"/>
    <col min="4" max="4" width="50" customWidth="1"/>
  </cols>
  <sheetData>
    <row r="1" spans="1:4" ht="18" x14ac:dyDescent="0.25">
      <c r="A1" s="1" t="s">
        <v>507</v>
      </c>
    </row>
    <row r="3" spans="1:4" x14ac:dyDescent="0.25">
      <c r="A3" s="14" t="s">
        <v>508</v>
      </c>
      <c r="B3" s="14" t="s">
        <v>509</v>
      </c>
      <c r="C3" s="14" t="s">
        <v>400</v>
      </c>
      <c r="D3" s="14" t="s">
        <v>510</v>
      </c>
    </row>
    <row r="4" spans="1:4" x14ac:dyDescent="0.25">
      <c r="A4" s="18" t="s">
        <v>511</v>
      </c>
      <c r="B4" s="18" t="s">
        <v>512</v>
      </c>
      <c r="C4" s="39" t="s">
        <v>406</v>
      </c>
      <c r="D4" s="39"/>
    </row>
    <row r="5" spans="1:4" x14ac:dyDescent="0.25">
      <c r="A5" s="18" t="s">
        <v>511</v>
      </c>
      <c r="B5" s="18" t="s">
        <v>513</v>
      </c>
      <c r="C5" s="39" t="s">
        <v>406</v>
      </c>
      <c r="D5" s="39"/>
    </row>
    <row r="6" spans="1:4" x14ac:dyDescent="0.25">
      <c r="A6" s="18" t="s">
        <v>511</v>
      </c>
      <c r="B6" s="18" t="s">
        <v>514</v>
      </c>
      <c r="C6" s="39" t="s">
        <v>406</v>
      </c>
      <c r="D6" s="39"/>
    </row>
    <row r="7" spans="1:4" x14ac:dyDescent="0.25">
      <c r="A7" s="18" t="s">
        <v>515</v>
      </c>
      <c r="B7" s="18" t="s">
        <v>516</v>
      </c>
      <c r="C7" s="39" t="s">
        <v>406</v>
      </c>
      <c r="D7" s="39"/>
    </row>
    <row r="8" spans="1:4" x14ac:dyDescent="0.25">
      <c r="A8" s="18" t="s">
        <v>515</v>
      </c>
      <c r="B8" s="18" t="s">
        <v>517</v>
      </c>
      <c r="C8" s="39" t="s">
        <v>406</v>
      </c>
      <c r="D8" s="39"/>
    </row>
    <row r="9" spans="1:4" x14ac:dyDescent="0.25">
      <c r="A9" s="18" t="s">
        <v>515</v>
      </c>
      <c r="B9" s="18" t="s">
        <v>518</v>
      </c>
      <c r="C9" s="39" t="s">
        <v>406</v>
      </c>
      <c r="D9" s="39"/>
    </row>
    <row r="10" spans="1:4" x14ac:dyDescent="0.25">
      <c r="A10" s="18" t="s">
        <v>519</v>
      </c>
      <c r="B10" s="18" t="s">
        <v>520</v>
      </c>
      <c r="C10" s="39" t="s">
        <v>406</v>
      </c>
      <c r="D10" s="39"/>
    </row>
    <row r="11" spans="1:4" x14ac:dyDescent="0.25">
      <c r="A11" s="18" t="s">
        <v>519</v>
      </c>
      <c r="B11" s="18" t="s">
        <v>521</v>
      </c>
      <c r="C11" s="39" t="s">
        <v>406</v>
      </c>
      <c r="D11" s="39"/>
    </row>
    <row r="12" spans="1:4" x14ac:dyDescent="0.25">
      <c r="A12" s="18" t="s">
        <v>519</v>
      </c>
      <c r="B12" s="18" t="s">
        <v>522</v>
      </c>
      <c r="C12" s="39" t="s">
        <v>406</v>
      </c>
      <c r="D12" s="39"/>
    </row>
    <row r="13" spans="1:4" x14ac:dyDescent="0.25">
      <c r="A13" s="18" t="s">
        <v>523</v>
      </c>
      <c r="B13" s="18" t="s">
        <v>524</v>
      </c>
      <c r="C13" s="39" t="s">
        <v>406</v>
      </c>
      <c r="D13" s="39"/>
    </row>
    <row r="14" spans="1:4" x14ac:dyDescent="0.25">
      <c r="A14" s="18" t="s">
        <v>523</v>
      </c>
      <c r="B14" s="18" t="s">
        <v>525</v>
      </c>
      <c r="C14" s="39" t="s">
        <v>406</v>
      </c>
      <c r="D14" s="39"/>
    </row>
    <row r="15" spans="1:4" x14ac:dyDescent="0.25">
      <c r="A15" s="18" t="s">
        <v>523</v>
      </c>
      <c r="B15" s="18" t="s">
        <v>526</v>
      </c>
      <c r="C15" s="39" t="s">
        <v>406</v>
      </c>
      <c r="D15" s="39"/>
    </row>
    <row r="16" spans="1:4" x14ac:dyDescent="0.25">
      <c r="A16" s="18" t="s">
        <v>523</v>
      </c>
      <c r="B16" s="18" t="s">
        <v>527</v>
      </c>
      <c r="C16" s="39" t="s">
        <v>406</v>
      </c>
      <c r="D16" s="39"/>
    </row>
    <row r="18" spans="1:3" x14ac:dyDescent="0.25">
      <c r="A18" s="3" t="s">
        <v>528</v>
      </c>
      <c r="C18" s="57">
        <f>COUNTIF(C4:C16,"Done")/COUNTA(B4:B16)</f>
        <v>0</v>
      </c>
    </row>
  </sheetData>
  <conditionalFormatting sqref="C4:C16">
    <cfRule type="cellIs" dxfId="0" priority="2" operator="equal">
      <formula>"Done"</formula>
    </cfRule>
  </conditionalFormatting>
  <dataValidations count="1">
    <dataValidation type="list" sqref="C4:C16" xr:uid="{00000000-0002-0000-0600-000000000000}">
      <formula1>"Not Started,In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1"/>
  <sheetViews>
    <sheetView zoomScaleNormal="100" workbookViewId="0"/>
  </sheetViews>
  <sheetFormatPr defaultColWidth="8.7109375" defaultRowHeight="15" x14ac:dyDescent="0.25"/>
  <cols>
    <col min="1" max="1" width="44" customWidth="1"/>
    <col min="2" max="2" width="16" customWidth="1"/>
    <col min="3" max="4" width="13" customWidth="1"/>
    <col min="5" max="5" width="10" customWidth="1"/>
  </cols>
  <sheetData>
    <row r="1" spans="1:5" ht="18" x14ac:dyDescent="0.25">
      <c r="A1" s="1" t="s">
        <v>529</v>
      </c>
    </row>
    <row r="2" spans="1:5" x14ac:dyDescent="0.25">
      <c r="A2" s="2" t="s">
        <v>530</v>
      </c>
    </row>
    <row r="3" spans="1:5" x14ac:dyDescent="0.25">
      <c r="A3" s="14" t="s">
        <v>531</v>
      </c>
      <c r="B3" s="14" t="s">
        <v>532</v>
      </c>
      <c r="C3" s="14" t="s">
        <v>533</v>
      </c>
      <c r="D3" s="14" t="s">
        <v>534</v>
      </c>
      <c r="E3" s="14" t="s">
        <v>535</v>
      </c>
    </row>
    <row r="4" spans="1:5" x14ac:dyDescent="0.25">
      <c r="A4" s="46" t="s">
        <v>536</v>
      </c>
      <c r="B4" s="46" t="s">
        <v>537</v>
      </c>
      <c r="C4" s="58"/>
      <c r="D4" s="58"/>
      <c r="E4" s="46" t="str">
        <f t="shared" ref="E4:E19" si="0">IF(OR(C4="",D4=""),"",D4-C4)</f>
        <v/>
      </c>
    </row>
    <row r="5" spans="1:5" x14ac:dyDescent="0.25">
      <c r="A5" s="46" t="s">
        <v>538</v>
      </c>
      <c r="B5" s="46" t="s">
        <v>537</v>
      </c>
      <c r="C5" s="58"/>
      <c r="D5" s="58"/>
      <c r="E5" s="46" t="str">
        <f t="shared" si="0"/>
        <v/>
      </c>
    </row>
    <row r="6" spans="1:5" x14ac:dyDescent="0.25">
      <c r="A6" s="46" t="s">
        <v>539</v>
      </c>
      <c r="B6" s="46" t="s">
        <v>537</v>
      </c>
      <c r="C6" s="58"/>
      <c r="D6" s="58"/>
      <c r="E6" s="46" t="str">
        <f t="shared" si="0"/>
        <v/>
      </c>
    </row>
    <row r="7" spans="1:5" x14ac:dyDescent="0.25">
      <c r="A7" s="46" t="s">
        <v>540</v>
      </c>
      <c r="B7" s="46" t="s">
        <v>537</v>
      </c>
      <c r="C7" s="58"/>
      <c r="D7" s="58"/>
      <c r="E7" s="46" t="str">
        <f t="shared" si="0"/>
        <v/>
      </c>
    </row>
    <row r="8" spans="1:5" x14ac:dyDescent="0.25">
      <c r="A8" s="46" t="s">
        <v>541</v>
      </c>
      <c r="B8" s="46" t="s">
        <v>542</v>
      </c>
      <c r="C8" s="58"/>
      <c r="D8" s="58"/>
      <c r="E8" s="46" t="str">
        <f t="shared" si="0"/>
        <v/>
      </c>
    </row>
    <row r="9" spans="1:5" x14ac:dyDescent="0.25">
      <c r="A9" s="46" t="s">
        <v>543</v>
      </c>
      <c r="B9" s="46" t="s">
        <v>542</v>
      </c>
      <c r="C9" s="58"/>
      <c r="D9" s="58"/>
      <c r="E9" s="46" t="str">
        <f t="shared" si="0"/>
        <v/>
      </c>
    </row>
    <row r="10" spans="1:5" x14ac:dyDescent="0.25">
      <c r="A10" s="46" t="s">
        <v>544</v>
      </c>
      <c r="B10" s="46" t="s">
        <v>542</v>
      </c>
      <c r="C10" s="58"/>
      <c r="D10" s="58"/>
      <c r="E10" s="46" t="str">
        <f t="shared" si="0"/>
        <v/>
      </c>
    </row>
    <row r="11" spans="1:5" x14ac:dyDescent="0.25">
      <c r="A11" s="46" t="s">
        <v>110</v>
      </c>
      <c r="B11" s="46" t="s">
        <v>545</v>
      </c>
      <c r="C11" s="58"/>
      <c r="D11" s="58"/>
      <c r="E11" s="46" t="str">
        <f t="shared" si="0"/>
        <v/>
      </c>
    </row>
    <row r="12" spans="1:5" x14ac:dyDescent="0.25">
      <c r="A12" s="46" t="s">
        <v>546</v>
      </c>
      <c r="B12" s="46" t="s">
        <v>545</v>
      </c>
      <c r="C12" s="58"/>
      <c r="D12" s="58"/>
      <c r="E12" s="46" t="str">
        <f t="shared" si="0"/>
        <v/>
      </c>
    </row>
    <row r="13" spans="1:5" x14ac:dyDescent="0.25">
      <c r="A13" s="46" t="s">
        <v>547</v>
      </c>
      <c r="B13" s="46" t="s">
        <v>545</v>
      </c>
      <c r="C13" s="58"/>
      <c r="D13" s="58"/>
      <c r="E13" s="46" t="str">
        <f t="shared" si="0"/>
        <v/>
      </c>
    </row>
    <row r="14" spans="1:5" x14ac:dyDescent="0.25">
      <c r="A14" s="46" t="s">
        <v>548</v>
      </c>
      <c r="B14" s="46" t="s">
        <v>545</v>
      </c>
      <c r="C14" s="58"/>
      <c r="D14" s="58"/>
      <c r="E14" s="46" t="str">
        <f t="shared" si="0"/>
        <v/>
      </c>
    </row>
    <row r="15" spans="1:5" x14ac:dyDescent="0.25">
      <c r="A15" s="46" t="s">
        <v>549</v>
      </c>
      <c r="B15" s="46" t="s">
        <v>550</v>
      </c>
      <c r="C15" s="58"/>
      <c r="D15" s="58"/>
      <c r="E15" s="46" t="str">
        <f t="shared" si="0"/>
        <v/>
      </c>
    </row>
    <row r="16" spans="1:5" x14ac:dyDescent="0.25">
      <c r="A16" s="46" t="s">
        <v>551</v>
      </c>
      <c r="B16" s="46" t="s">
        <v>550</v>
      </c>
      <c r="C16" s="58"/>
      <c r="D16" s="58"/>
      <c r="E16" s="46" t="str">
        <f t="shared" si="0"/>
        <v/>
      </c>
    </row>
    <row r="17" spans="1:5" x14ac:dyDescent="0.25">
      <c r="A17" s="46" t="s">
        <v>552</v>
      </c>
      <c r="B17" s="46" t="s">
        <v>553</v>
      </c>
      <c r="C17" s="58"/>
      <c r="D17" s="58"/>
      <c r="E17" s="46" t="str">
        <f t="shared" si="0"/>
        <v/>
      </c>
    </row>
    <row r="18" spans="1:5" x14ac:dyDescent="0.25">
      <c r="A18" s="46" t="s">
        <v>554</v>
      </c>
      <c r="B18" s="46" t="s">
        <v>553</v>
      </c>
      <c r="C18" s="58"/>
      <c r="D18" s="58"/>
      <c r="E18" s="46" t="str">
        <f t="shared" si="0"/>
        <v/>
      </c>
    </row>
    <row r="19" spans="1:5" x14ac:dyDescent="0.25">
      <c r="A19" s="46" t="s">
        <v>555</v>
      </c>
      <c r="B19" s="46" t="s">
        <v>553</v>
      </c>
      <c r="C19" s="58"/>
      <c r="D19" s="58"/>
      <c r="E19" s="46" t="str">
        <f t="shared" si="0"/>
        <v/>
      </c>
    </row>
    <row r="21" spans="1:5" x14ac:dyDescent="0.25">
      <c r="A21" s="3" t="s">
        <v>556</v>
      </c>
      <c r="C21" s="55">
        <f>IFERROR(AVERAGE(C4:C19),0)</f>
        <v>0</v>
      </c>
      <c r="D21" s="55">
        <f>IFERROR(AVERAGE(D4:D19),0)</f>
        <v>0</v>
      </c>
      <c r="E21" s="55">
        <f>IFERROR(AVERAGE(E4:E19),0)</f>
        <v>0</v>
      </c>
    </row>
  </sheetData>
  <dataValidations count="1">
    <dataValidation type="whole" allowBlank="1" sqref="C4:D19" xr:uid="{00000000-0002-0000-0700-000000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2"/>
  <sheetViews>
    <sheetView zoomScaleNormal="100" workbookViewId="0">
      <selection activeCell="C18" sqref="C18"/>
    </sheetView>
  </sheetViews>
  <sheetFormatPr defaultColWidth="8.7109375" defaultRowHeight="15" x14ac:dyDescent="0.25"/>
  <cols>
    <col min="1" max="1" width="26" customWidth="1"/>
    <col min="2" max="2" width="50" customWidth="1"/>
    <col min="3" max="3" width="70" customWidth="1"/>
  </cols>
  <sheetData>
    <row r="1" spans="1:3" ht="18" x14ac:dyDescent="0.25">
      <c r="A1" s="1" t="s">
        <v>557</v>
      </c>
    </row>
    <row r="3" spans="1:3" x14ac:dyDescent="0.25">
      <c r="A3" s="14" t="s">
        <v>558</v>
      </c>
      <c r="B3" s="14" t="s">
        <v>217</v>
      </c>
      <c r="C3" s="14" t="s">
        <v>220</v>
      </c>
    </row>
    <row r="4" spans="1:3" x14ac:dyDescent="0.25">
      <c r="A4" s="46" t="s">
        <v>559</v>
      </c>
      <c r="B4" s="46" t="s">
        <v>560</v>
      </c>
      <c r="C4" s="46" t="s">
        <v>561</v>
      </c>
    </row>
    <row r="5" spans="1:3" x14ac:dyDescent="0.25">
      <c r="A5" s="46" t="s">
        <v>562</v>
      </c>
      <c r="B5" s="46" t="s">
        <v>563</v>
      </c>
      <c r="C5" s="46" t="s">
        <v>564</v>
      </c>
    </row>
    <row r="6" spans="1:3" x14ac:dyDescent="0.25">
      <c r="A6" s="46" t="s">
        <v>565</v>
      </c>
      <c r="B6" s="46" t="s">
        <v>566</v>
      </c>
      <c r="C6" s="46" t="s">
        <v>567</v>
      </c>
    </row>
    <row r="7" spans="1:3" x14ac:dyDescent="0.25">
      <c r="A7" s="46" t="s">
        <v>568</v>
      </c>
      <c r="B7" s="46" t="s">
        <v>569</v>
      </c>
      <c r="C7" s="46" t="s">
        <v>570</v>
      </c>
    </row>
    <row r="8" spans="1:3" x14ac:dyDescent="0.25">
      <c r="A8" s="46" t="s">
        <v>571</v>
      </c>
      <c r="B8" s="46" t="s">
        <v>572</v>
      </c>
      <c r="C8" s="46" t="s">
        <v>312</v>
      </c>
    </row>
    <row r="9" spans="1:3" x14ac:dyDescent="0.25">
      <c r="A9" s="46" t="s">
        <v>573</v>
      </c>
      <c r="B9" s="46" t="s">
        <v>574</v>
      </c>
      <c r="C9" s="46" t="s">
        <v>376</v>
      </c>
    </row>
    <row r="10" spans="1:3" x14ac:dyDescent="0.25">
      <c r="A10" s="46" t="s">
        <v>575</v>
      </c>
      <c r="B10" s="46" t="s">
        <v>576</v>
      </c>
      <c r="C10" s="46" t="s">
        <v>368</v>
      </c>
    </row>
    <row r="11" spans="1:3" x14ac:dyDescent="0.25">
      <c r="A11" s="46" t="s">
        <v>577</v>
      </c>
      <c r="B11" s="46" t="s">
        <v>578</v>
      </c>
      <c r="C11" s="46" t="s">
        <v>579</v>
      </c>
    </row>
    <row r="12" spans="1:3" x14ac:dyDescent="0.25">
      <c r="A12" s="46" t="s">
        <v>580</v>
      </c>
      <c r="B12" s="46" t="s">
        <v>581</v>
      </c>
      <c r="C12" s="46" t="s">
        <v>582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5-Week Plan</vt:lpstr>
      <vt:lpstr>Learn From</vt:lpstr>
      <vt:lpstr>Tracker</vt:lpstr>
      <vt:lpstr>Dashboard</vt:lpstr>
      <vt:lpstr>Capstone</vt:lpstr>
      <vt:lpstr>Portfolio</vt:lpstr>
      <vt:lpstr>Skills</vt:lpstr>
      <vt:lpstr>Practice 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2026-10-02T10:09:42Z</dcterms:created>
  <dcterms:modified xsi:type="dcterms:W3CDTF">2026-10-26T09:20:37Z</dcterms:modified>
  <dc:language>en-US</dc:language>
</cp:coreProperties>
</file>